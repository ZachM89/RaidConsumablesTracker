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990" yWindow="450" windowWidth="26175" windowHeight="13305"/>
  </bookViews>
  <sheets>
    <sheet name="Consumables" sheetId="9" r:id="rId1"/>
    <sheet name="Notes" sheetId="4" r:id="rId2"/>
    <sheet name="Scratch" sheetId="8" r:id="rId3"/>
  </sheets>
  <calcPr calcId="145621"/>
</workbook>
</file>

<file path=xl/calcChain.xml><?xml version="1.0" encoding="utf-8"?>
<calcChain xmlns="http://schemas.openxmlformats.org/spreadsheetml/2006/main">
  <c r="AD3" i="9" l="1"/>
  <c r="B46" i="9"/>
  <c r="D46" i="9"/>
  <c r="AD22" i="9"/>
  <c r="AF21" i="9" s="1"/>
  <c r="AD21" i="9"/>
  <c r="AF22" i="9" s="1"/>
  <c r="M18" i="4"/>
  <c r="N18" i="4" s="1"/>
  <c r="M19" i="4"/>
  <c r="M20" i="4"/>
  <c r="N20" i="4" s="1"/>
  <c r="M17" i="4"/>
  <c r="E46" i="9" l="1"/>
  <c r="R46" i="9" s="1"/>
  <c r="C46" i="9"/>
  <c r="AG22" i="9"/>
  <c r="AG21" i="9"/>
  <c r="AE22" i="9"/>
  <c r="AE21" i="9"/>
  <c r="O17" i="4"/>
  <c r="O19" i="4"/>
  <c r="N17" i="4"/>
  <c r="J17" i="4" s="1"/>
  <c r="N19" i="4"/>
  <c r="J19" i="4" s="1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23" i="9"/>
  <c r="AF19" i="9"/>
  <c r="AF20" i="9"/>
  <c r="AF18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7" i="9"/>
  <c r="D48" i="9"/>
  <c r="D49" i="9"/>
  <c r="D2" i="9"/>
  <c r="Y30" i="9"/>
  <c r="Y41" i="9"/>
  <c r="Y39" i="9"/>
  <c r="AD9" i="9"/>
  <c r="AD7" i="9"/>
  <c r="AD8" i="9"/>
  <c r="Y7" i="9"/>
  <c r="Y29" i="9"/>
  <c r="B42" i="9"/>
  <c r="B43" i="9"/>
  <c r="B31" i="9"/>
  <c r="B39" i="9"/>
  <c r="Y38" i="9"/>
  <c r="Y46" i="9"/>
  <c r="B38" i="9"/>
  <c r="B45" i="9"/>
  <c r="Y25" i="9"/>
  <c r="Y6" i="9"/>
  <c r="Y27" i="9"/>
  <c r="B24" i="9"/>
  <c r="B22" i="9"/>
  <c r="B20" i="9"/>
  <c r="B18" i="9"/>
  <c r="B9" i="9"/>
  <c r="Y2" i="9"/>
  <c r="B21" i="9"/>
  <c r="G94" i="9"/>
  <c r="G95" i="9"/>
  <c r="G96" i="9"/>
  <c r="G97" i="9"/>
  <c r="G98" i="9"/>
  <c r="G99" i="9"/>
  <c r="G100" i="9"/>
  <c r="G101" i="9"/>
  <c r="G93" i="9"/>
  <c r="B29" i="9"/>
  <c r="AD23" i="9"/>
  <c r="Y36" i="9"/>
  <c r="B34" i="9"/>
  <c r="B41" i="9"/>
  <c r="AD39" i="9"/>
  <c r="AD4" i="9"/>
  <c r="B15" i="9"/>
  <c r="B16" i="9"/>
  <c r="Y49" i="9"/>
  <c r="Y19" i="9"/>
  <c r="AD12" i="9"/>
  <c r="AD5" i="9"/>
  <c r="Y24" i="9"/>
  <c r="Y8" i="9"/>
  <c r="Y9" i="9"/>
  <c r="Y23" i="9"/>
  <c r="Y26" i="9"/>
  <c r="Y34" i="9"/>
  <c r="Y17" i="9"/>
  <c r="Y35" i="9"/>
  <c r="Y37" i="9"/>
  <c r="Y4" i="9"/>
  <c r="P46" i="9" l="1"/>
  <c r="P124" i="9" s="1"/>
  <c r="AF3" i="9" s="1"/>
  <c r="AE3" i="9" s="1"/>
  <c r="E31" i="9"/>
  <c r="R31" i="9" s="1"/>
  <c r="AG39" i="9"/>
  <c r="AA51" i="9" s="1"/>
  <c r="E43" i="9"/>
  <c r="P43" i="9" s="1"/>
  <c r="AA7" i="9" s="1"/>
  <c r="Z7" i="9" s="1"/>
  <c r="E42" i="9"/>
  <c r="R42" i="9" s="1"/>
  <c r="C43" i="9"/>
  <c r="C42" i="9"/>
  <c r="G102" i="9"/>
  <c r="Y3" i="9" s="1"/>
  <c r="C31" i="9"/>
  <c r="E21" i="9"/>
  <c r="R21" i="9" s="1"/>
  <c r="E18" i="9"/>
  <c r="P18" i="9" s="1"/>
  <c r="AA27" i="9" s="1"/>
  <c r="Z27" i="9" s="1"/>
  <c r="E24" i="9"/>
  <c r="T24" i="9" s="1"/>
  <c r="E22" i="9"/>
  <c r="T22" i="9" s="1"/>
  <c r="E20" i="9"/>
  <c r="R20" i="9" s="1"/>
  <c r="E38" i="9"/>
  <c r="T38" i="9" s="1"/>
  <c r="E39" i="9"/>
  <c r="T39" i="9" s="1"/>
  <c r="C39" i="9"/>
  <c r="C22" i="9"/>
  <c r="E45" i="9"/>
  <c r="C45" i="9"/>
  <c r="C38" i="9"/>
  <c r="C24" i="9"/>
  <c r="C20" i="9"/>
  <c r="C18" i="9"/>
  <c r="E9" i="9"/>
  <c r="T9" i="9" s="1"/>
  <c r="C21" i="9"/>
  <c r="C9" i="9"/>
  <c r="E29" i="9"/>
  <c r="T29" i="9" s="1"/>
  <c r="C29" i="9"/>
  <c r="C34" i="9"/>
  <c r="AG23" i="9"/>
  <c r="AE23" i="9"/>
  <c r="E34" i="9"/>
  <c r="P34" i="9" s="1"/>
  <c r="AA36" i="9" s="1"/>
  <c r="Z36" i="9" s="1"/>
  <c r="AE39" i="9"/>
  <c r="C15" i="9"/>
  <c r="E16" i="9"/>
  <c r="C16" i="9"/>
  <c r="E15" i="9"/>
  <c r="P125" i="9" l="1"/>
  <c r="P45" i="9"/>
  <c r="R45" i="9"/>
  <c r="T31" i="9"/>
  <c r="P31" i="9"/>
  <c r="AA39" i="9" s="1"/>
  <c r="Z39" i="9" s="1"/>
  <c r="R43" i="9"/>
  <c r="T43" i="9"/>
  <c r="T42" i="9"/>
  <c r="AF9" i="9" s="1"/>
  <c r="P119" i="9" s="1"/>
  <c r="P42" i="9"/>
  <c r="P22" i="9"/>
  <c r="AA25" i="9" s="1"/>
  <c r="Z25" i="9" s="1"/>
  <c r="T21" i="9"/>
  <c r="T20" i="9"/>
  <c r="P21" i="9"/>
  <c r="AA2" i="9" s="1"/>
  <c r="Z2" i="9" s="1"/>
  <c r="R22" i="9"/>
  <c r="R39" i="9"/>
  <c r="P24" i="9"/>
  <c r="P39" i="9"/>
  <c r="R24" i="9"/>
  <c r="R38" i="9"/>
  <c r="T18" i="9"/>
  <c r="P38" i="9"/>
  <c r="R18" i="9"/>
  <c r="AA6" i="9" s="1"/>
  <c r="Z6" i="9" s="1"/>
  <c r="P20" i="9"/>
  <c r="P9" i="9"/>
  <c r="R9" i="9"/>
  <c r="P29" i="9"/>
  <c r="T15" i="9"/>
  <c r="P15" i="9"/>
  <c r="R15" i="9"/>
  <c r="T16" i="9"/>
  <c r="P16" i="9"/>
  <c r="AF4" i="9" s="1"/>
  <c r="P112" i="9" s="1"/>
  <c r="R16" i="9"/>
  <c r="AA38" i="9" l="1"/>
  <c r="Z38" i="9" s="1"/>
  <c r="AE9" i="9"/>
  <c r="AA46" i="9"/>
  <c r="Z46" i="9" s="1"/>
  <c r="P122" i="9"/>
  <c r="P121" i="9"/>
  <c r="AA29" i="9" s="1"/>
  <c r="Z29" i="9" s="1"/>
  <c r="P120" i="9"/>
  <c r="AA30" i="9" s="1"/>
  <c r="Z30" i="9" s="1"/>
  <c r="AE4" i="9"/>
  <c r="P113" i="9"/>
  <c r="P114" i="9"/>
  <c r="AF7" i="9" l="1"/>
  <c r="P116" i="9" s="1"/>
  <c r="P117" i="9" s="1"/>
  <c r="AA41" i="9" s="1"/>
  <c r="Z41" i="9" s="1"/>
  <c r="B48" i="9"/>
  <c r="C48" i="9" s="1"/>
  <c r="B36" i="9"/>
  <c r="B37" i="9"/>
  <c r="B33" i="9"/>
  <c r="AD27" i="9"/>
  <c r="B47" i="9"/>
  <c r="AE7" i="9" l="1"/>
  <c r="E47" i="9"/>
  <c r="V47" i="9" s="1"/>
  <c r="AG27" i="9"/>
  <c r="E33" i="9"/>
  <c r="V33" i="9" s="1"/>
  <c r="E37" i="9"/>
  <c r="V37" i="9" s="1"/>
  <c r="E36" i="9"/>
  <c r="V36" i="9" s="1"/>
  <c r="E48" i="9"/>
  <c r="V48" i="9" s="1"/>
  <c r="C47" i="9"/>
  <c r="AE27" i="9"/>
  <c r="C33" i="9"/>
  <c r="C37" i="9"/>
  <c r="C36" i="9"/>
  <c r="AD29" i="9"/>
  <c r="AG29" i="9" s="1"/>
  <c r="B30" i="9"/>
  <c r="E30" i="9" s="1"/>
  <c r="V30" i="9" s="1"/>
  <c r="B13" i="9"/>
  <c r="C13" i="9" s="1"/>
  <c r="B8" i="9"/>
  <c r="E8" i="9" s="1"/>
  <c r="AA23" i="9" l="1"/>
  <c r="Z23" i="9" s="1"/>
  <c r="R30" i="9"/>
  <c r="AF5" i="9" s="1"/>
  <c r="P107" i="9" s="1"/>
  <c r="T30" i="9"/>
  <c r="P30" i="9"/>
  <c r="AA8" i="9" s="1"/>
  <c r="Z8" i="9" s="1"/>
  <c r="R48" i="9"/>
  <c r="T48" i="9"/>
  <c r="P48" i="9"/>
  <c r="R36" i="9"/>
  <c r="AA34" i="9" s="1"/>
  <c r="P36" i="9"/>
  <c r="T36" i="9"/>
  <c r="R37" i="9"/>
  <c r="T37" i="9"/>
  <c r="P37" i="9"/>
  <c r="T33" i="9"/>
  <c r="P33" i="9"/>
  <c r="AA35" i="9" s="1"/>
  <c r="R33" i="9"/>
  <c r="AA37" i="9" s="1"/>
  <c r="T8" i="9"/>
  <c r="R8" i="9"/>
  <c r="P8" i="9"/>
  <c r="T47" i="9"/>
  <c r="P47" i="9"/>
  <c r="R47" i="9"/>
  <c r="E13" i="9"/>
  <c r="C8" i="9"/>
  <c r="C30" i="9"/>
  <c r="AE29" i="9"/>
  <c r="Y52" i="9"/>
  <c r="Y53" i="9"/>
  <c r="Y54" i="9"/>
  <c r="Y51" i="9"/>
  <c r="Y55" i="9"/>
  <c r="AA9" i="9" l="1"/>
  <c r="Z9" i="9" s="1"/>
  <c r="AA26" i="9"/>
  <c r="R13" i="9"/>
  <c r="T13" i="9"/>
  <c r="P13" i="9"/>
  <c r="AE5" i="9"/>
  <c r="AD26" i="9"/>
  <c r="AG26" i="9" s="1"/>
  <c r="AD25" i="9"/>
  <c r="AG25" i="9" s="1"/>
  <c r="AD20" i="9"/>
  <c r="AG20" i="9" s="1"/>
  <c r="Y10" i="9"/>
  <c r="B7" i="9"/>
  <c r="P110" i="9" l="1"/>
  <c r="P109" i="9"/>
  <c r="AA49" i="9" s="1"/>
  <c r="Z49" i="9" s="1"/>
  <c r="P108" i="9"/>
  <c r="AA17" i="9" s="1"/>
  <c r="AE26" i="9"/>
  <c r="C7" i="9"/>
  <c r="AE25" i="9"/>
  <c r="AE20" i="9"/>
  <c r="E7" i="9"/>
  <c r="Z17" i="9" l="1"/>
  <c r="P7" i="9"/>
  <c r="AF6" i="9" s="1"/>
  <c r="P98" i="9" s="1"/>
  <c r="T7" i="9"/>
  <c r="R7" i="9"/>
  <c r="AD38" i="9"/>
  <c r="AG38" i="9" s="1"/>
  <c r="AD19" i="9"/>
  <c r="AG19" i="9" s="1"/>
  <c r="B40" i="9"/>
  <c r="AD35" i="9"/>
  <c r="AD36" i="9"/>
  <c r="AD37" i="9"/>
  <c r="AD24" i="9"/>
  <c r="AG24" i="9" s="1"/>
  <c r="AD18" i="9"/>
  <c r="AG18" i="9" s="1"/>
  <c r="AD14" i="9"/>
  <c r="AD15" i="9"/>
  <c r="AD13" i="9"/>
  <c r="AD6" i="9"/>
  <c r="AD2" i="9"/>
  <c r="Y28" i="9"/>
  <c r="Y44" i="9"/>
  <c r="Y50" i="9"/>
  <c r="Y47" i="9"/>
  <c r="Y11" i="9"/>
  <c r="Y33" i="9"/>
  <c r="Y22" i="9"/>
  <c r="Y48" i="9"/>
  <c r="Y20" i="9"/>
  <c r="Y42" i="9"/>
  <c r="B6" i="9"/>
  <c r="B4" i="9"/>
  <c r="B5" i="9"/>
  <c r="B26" i="9"/>
  <c r="E26" i="9" s="1"/>
  <c r="B10" i="9"/>
  <c r="B19" i="9"/>
  <c r="B11" i="9"/>
  <c r="B28" i="9"/>
  <c r="E28" i="9" s="1"/>
  <c r="B23" i="9"/>
  <c r="E23" i="9" s="1"/>
  <c r="B27" i="9"/>
  <c r="E27" i="9" s="1"/>
  <c r="B25" i="9"/>
  <c r="E25" i="9" s="1"/>
  <c r="B14" i="9"/>
  <c r="B17" i="9"/>
  <c r="B35" i="9"/>
  <c r="B32" i="9"/>
  <c r="AD30" i="9"/>
  <c r="AD31" i="9"/>
  <c r="AD28" i="9"/>
  <c r="AD32" i="9"/>
  <c r="AD33" i="9"/>
  <c r="B2" i="9"/>
  <c r="E2" i="9" s="1"/>
  <c r="B12" i="9"/>
  <c r="B49" i="9"/>
  <c r="E49" i="9" s="1"/>
  <c r="V49" i="9" s="1"/>
  <c r="AD34" i="9"/>
  <c r="AG34" i="9" s="1"/>
  <c r="AA3" i="9" s="1"/>
  <c r="Z3" i="9" s="1"/>
  <c r="B44" i="9"/>
  <c r="E44" i="9" s="1"/>
  <c r="B3" i="9"/>
  <c r="E12" i="9" l="1"/>
  <c r="T12" i="9" s="1"/>
  <c r="C12" i="9"/>
  <c r="E40" i="9"/>
  <c r="E41" i="9"/>
  <c r="AG37" i="9"/>
  <c r="AG36" i="9"/>
  <c r="AA52" i="9" s="1"/>
  <c r="Z52" i="9" s="1"/>
  <c r="P99" i="9"/>
  <c r="P101" i="9"/>
  <c r="P100" i="9"/>
  <c r="AG35" i="9"/>
  <c r="AA55" i="9" s="1"/>
  <c r="Z55" i="9" s="1"/>
  <c r="T49" i="9"/>
  <c r="AA4" i="9" s="1"/>
  <c r="R49" i="9"/>
  <c r="P49" i="9"/>
  <c r="T44" i="9"/>
  <c r="P44" i="9"/>
  <c r="R44" i="9"/>
  <c r="AA10" i="9" s="1"/>
  <c r="T2" i="9"/>
  <c r="P2" i="9"/>
  <c r="AA24" i="9" s="1"/>
  <c r="R2" i="9"/>
  <c r="C44" i="9"/>
  <c r="AE24" i="9"/>
  <c r="R12" i="9" l="1"/>
  <c r="P12" i="9"/>
  <c r="AA53" i="9"/>
  <c r="Z53" i="9" s="1"/>
  <c r="T41" i="9"/>
  <c r="R41" i="9"/>
  <c r="AA59" i="9" s="1"/>
  <c r="P41" i="9"/>
  <c r="AA54" i="9"/>
  <c r="Z54" i="9" s="1"/>
  <c r="T40" i="9"/>
  <c r="R40" i="9"/>
  <c r="AA58" i="9" s="1"/>
  <c r="P40" i="9"/>
  <c r="AA56" i="9" l="1"/>
  <c r="AA57" i="9"/>
  <c r="Y14" i="9"/>
  <c r="S5" i="9"/>
  <c r="Q5" i="9"/>
  <c r="O5" i="9"/>
  <c r="Y15" i="9" s="1"/>
  <c r="S26" i="9"/>
  <c r="Q26" i="9"/>
  <c r="O26" i="9"/>
  <c r="C5" i="9"/>
  <c r="C26" i="9"/>
  <c r="E5" i="9" l="1"/>
  <c r="T26" i="9" l="1"/>
  <c r="P26" i="9"/>
  <c r="AA28" i="9" s="1"/>
  <c r="P5" i="9"/>
  <c r="AA15" i="9" s="1"/>
  <c r="Z15" i="9" s="1"/>
  <c r="R5" i="9"/>
  <c r="AA19" i="9" s="1"/>
  <c r="Z19" i="9" s="1"/>
  <c r="T5" i="9"/>
  <c r="R26" i="9"/>
  <c r="C40" i="9"/>
  <c r="AE19" i="9"/>
  <c r="Y59" i="9"/>
  <c r="Y56" i="9"/>
  <c r="Y58" i="9"/>
  <c r="Y57" i="9"/>
  <c r="Y40" i="9"/>
  <c r="Y43" i="9"/>
  <c r="C2" i="9"/>
  <c r="AE33" i="9"/>
  <c r="AG32" i="9"/>
  <c r="Y21" i="9"/>
  <c r="AG28" i="9"/>
  <c r="Y16" i="9"/>
  <c r="AG31" i="9"/>
  <c r="Y32" i="9"/>
  <c r="AE30" i="9"/>
  <c r="E32" i="9"/>
  <c r="E35" i="9"/>
  <c r="S17" i="9"/>
  <c r="Q17" i="9"/>
  <c r="Y18" i="9" s="1"/>
  <c r="O17" i="9"/>
  <c r="Y5" i="9" s="1"/>
  <c r="E17" i="9"/>
  <c r="P17" i="9" s="1"/>
  <c r="S14" i="9"/>
  <c r="Q14" i="9"/>
  <c r="O14" i="9"/>
  <c r="Y45" i="9" s="1"/>
  <c r="C14" i="9"/>
  <c r="C25" i="9"/>
  <c r="C27" i="9"/>
  <c r="Q11" i="9"/>
  <c r="O11" i="9"/>
  <c r="E11" i="9"/>
  <c r="P11" i="9" s="1"/>
  <c r="Z35" i="9" s="1"/>
  <c r="E19" i="9"/>
  <c r="P19" i="9" s="1"/>
  <c r="E10" i="9"/>
  <c r="P10" i="9" s="1"/>
  <c r="AA31" i="9" s="1"/>
  <c r="Y31" i="9"/>
  <c r="E4" i="9"/>
  <c r="Y13" i="9"/>
  <c r="E6" i="9"/>
  <c r="P6" i="9" s="1"/>
  <c r="Y12" i="9"/>
  <c r="E3" i="9"/>
  <c r="R3" i="9" s="1"/>
  <c r="Z26" i="9" l="1"/>
  <c r="AA5" i="9"/>
  <c r="Z10" i="9"/>
  <c r="P28" i="9"/>
  <c r="T28" i="9"/>
  <c r="P23" i="9"/>
  <c r="AA13" i="9" s="1"/>
  <c r="T23" i="9"/>
  <c r="Z4" i="9" s="1"/>
  <c r="T35" i="9"/>
  <c r="P35" i="9"/>
  <c r="P4" i="9"/>
  <c r="AA14" i="9" s="1"/>
  <c r="T32" i="9"/>
  <c r="P32" i="9"/>
  <c r="AA40" i="9" s="1"/>
  <c r="Z28" i="9"/>
  <c r="C3" i="9"/>
  <c r="AG30" i="9"/>
  <c r="C19" i="9"/>
  <c r="AE32" i="9"/>
  <c r="AE34" i="9"/>
  <c r="C49" i="9"/>
  <c r="AG33" i="9"/>
  <c r="C4" i="9"/>
  <c r="E14" i="9"/>
  <c r="C41" i="9"/>
  <c r="AE31" i="9"/>
  <c r="T19" i="9"/>
  <c r="T4" i="9"/>
  <c r="T3" i="9"/>
  <c r="R32" i="9"/>
  <c r="T17" i="9"/>
  <c r="AF12" i="9" s="1"/>
  <c r="AE12" i="9" s="1"/>
  <c r="R17" i="9"/>
  <c r="R28" i="9"/>
  <c r="AA44" i="9" s="1"/>
  <c r="Z44" i="9" s="1"/>
  <c r="Z59" i="9"/>
  <c r="R23" i="9"/>
  <c r="T6" i="9"/>
  <c r="R6" i="9"/>
  <c r="T10" i="9"/>
  <c r="R10" i="9"/>
  <c r="R11" i="9"/>
  <c r="T11" i="9"/>
  <c r="R35" i="9"/>
  <c r="AA42" i="9" s="1"/>
  <c r="C28" i="9"/>
  <c r="C35" i="9"/>
  <c r="P3" i="9"/>
  <c r="AA12" i="9" s="1"/>
  <c r="AE18" i="9"/>
  <c r="AE36" i="9"/>
  <c r="C17" i="9"/>
  <c r="C32" i="9"/>
  <c r="AE28" i="9"/>
  <c r="C6" i="9"/>
  <c r="R4" i="9"/>
  <c r="C10" i="9"/>
  <c r="R19" i="9"/>
  <c r="AA22" i="9" s="1"/>
  <c r="C11" i="9"/>
  <c r="C23" i="9"/>
  <c r="P27" i="9"/>
  <c r="AE38" i="9"/>
  <c r="AE37" i="9"/>
  <c r="AE35" i="9"/>
  <c r="AA11" i="9" l="1"/>
  <c r="Z11" i="9" s="1"/>
  <c r="Z14" i="9"/>
  <c r="Z24" i="9"/>
  <c r="Z34" i="9"/>
  <c r="Z51" i="9"/>
  <c r="Z37" i="9"/>
  <c r="R14" i="9"/>
  <c r="AA45" i="9" s="1"/>
  <c r="T14" i="9"/>
  <c r="AF13" i="9" s="1"/>
  <c r="P14" i="9"/>
  <c r="P25" i="9"/>
  <c r="AA50" i="9" s="1"/>
  <c r="T25" i="9"/>
  <c r="AA16" i="9"/>
  <c r="Z16" i="9" s="1"/>
  <c r="AA21" i="9"/>
  <c r="Z21" i="9" s="1"/>
  <c r="Z56" i="9"/>
  <c r="Z58" i="9"/>
  <c r="Z5" i="9"/>
  <c r="R25" i="9"/>
  <c r="Z13" i="9"/>
  <c r="Z40" i="9"/>
  <c r="Z42" i="9"/>
  <c r="AA48" i="9"/>
  <c r="Z48" i="9" s="1"/>
  <c r="Z12" i="9"/>
  <c r="AE6" i="9"/>
  <c r="T27" i="9"/>
  <c r="R27" i="9"/>
  <c r="AA33" i="9" s="1"/>
  <c r="Z33" i="9" s="1"/>
  <c r="Z31" i="9"/>
  <c r="AF2" i="9"/>
  <c r="P94" i="9" s="1"/>
  <c r="AA47" i="9"/>
  <c r="Z47" i="9" s="1"/>
  <c r="AF8" i="9" l="1"/>
  <c r="AE8" i="9" s="1"/>
  <c r="AA20" i="9"/>
  <c r="Z20" i="9" s="1"/>
  <c r="Z22" i="9"/>
  <c r="Z45" i="9"/>
  <c r="P95" i="9"/>
  <c r="AA32" i="9" s="1"/>
  <c r="Z32" i="9" s="1"/>
  <c r="P96" i="9"/>
  <c r="AF15" i="9" s="1"/>
  <c r="AA18" i="9"/>
  <c r="Z18" i="9" s="1"/>
  <c r="Z57" i="9"/>
  <c r="AE13" i="9"/>
  <c r="AE2" i="9"/>
  <c r="Z50" i="9"/>
  <c r="P103" i="9" l="1"/>
  <c r="AE15" i="9"/>
  <c r="P104" i="9" l="1"/>
  <c r="AA43" i="9" s="1"/>
  <c r="Z43" i="9" s="1"/>
  <c r="P105" i="9"/>
  <c r="AF14" i="9" s="1"/>
  <c r="AE14" i="9" s="1"/>
</calcChain>
</file>

<file path=xl/sharedStrings.xml><?xml version="1.0" encoding="utf-8"?>
<sst xmlns="http://schemas.openxmlformats.org/spreadsheetml/2006/main" count="948" uniqueCount="533">
  <si>
    <t>Heart of the Scale</t>
  </si>
  <si>
    <t>Truestrike Shoulders</t>
  </si>
  <si>
    <t>Ocean's Breeze</t>
  </si>
  <si>
    <t>Royal Seal of Eldre'Thalas</t>
  </si>
  <si>
    <t>Unyielding Maul</t>
  </si>
  <si>
    <t>Salamander Scale Pants</t>
  </si>
  <si>
    <t>Manual Crowd Pummeler</t>
  </si>
  <si>
    <t>Item</t>
  </si>
  <si>
    <t>Cenarion Helm</t>
  </si>
  <si>
    <t>Cinderhide Armsplints of the Bear</t>
  </si>
  <si>
    <t>Ring of Binding</t>
  </si>
  <si>
    <t>Wristguards of Stability</t>
  </si>
  <si>
    <t>Fireguard Shoulders</t>
  </si>
  <si>
    <t>Stormrage Chestguard</t>
  </si>
  <si>
    <t>Tender wolf steak</t>
  </si>
  <si>
    <t>Gordok Green Grog</t>
  </si>
  <si>
    <t>shadow oil</t>
  </si>
  <si>
    <t>dreamfoil</t>
  </si>
  <si>
    <t>crystal vial</t>
  </si>
  <si>
    <t>dream dust</t>
  </si>
  <si>
    <t>sungrass</t>
  </si>
  <si>
    <t>gromsblood</t>
  </si>
  <si>
    <t>blackmouth oil</t>
  </si>
  <si>
    <t>stranglekelp</t>
  </si>
  <si>
    <t>elemental earth</t>
  </si>
  <si>
    <t>goldthorn</t>
  </si>
  <si>
    <t>wild steelbloom</t>
  </si>
  <si>
    <t>tender wolf meat</t>
  </si>
  <si>
    <t>soothing spices</t>
  </si>
  <si>
    <t>plaguebloom</t>
  </si>
  <si>
    <t>Stormrage Legguards</t>
  </si>
  <si>
    <t>Medallion of Steadfast Might</t>
  </si>
  <si>
    <t>leaded vial</t>
  </si>
  <si>
    <t>Need</t>
  </si>
  <si>
    <t>Target</t>
  </si>
  <si>
    <t>Materials</t>
  </si>
  <si>
    <t>Vials</t>
  </si>
  <si>
    <t>Blackmouth oil</t>
  </si>
  <si>
    <t>Shadow oil</t>
  </si>
  <si>
    <t>Dreamfoil</t>
  </si>
  <si>
    <t>Goldthorn</t>
  </si>
  <si>
    <t>Have</t>
  </si>
  <si>
    <t>Flask of the Titans</t>
  </si>
  <si>
    <t>Oily Blackmouth</t>
  </si>
  <si>
    <t>Stonescale Oil</t>
  </si>
  <si>
    <t>Stonescale Eel</t>
  </si>
  <si>
    <t>Leaded Vial</t>
  </si>
  <si>
    <t>Blackmouth Oil</t>
  </si>
  <si>
    <t>Shadow Oil</t>
  </si>
  <si>
    <t>oily blackmouth</t>
  </si>
  <si>
    <t>empty vial</t>
  </si>
  <si>
    <t>stonescale eel</t>
  </si>
  <si>
    <t>fadeleaf</t>
  </si>
  <si>
    <t>grave moss</t>
  </si>
  <si>
    <t>stonescale oil</t>
  </si>
  <si>
    <t>thorium ore</t>
  </si>
  <si>
    <t>Cenarion Bracers</t>
  </si>
  <si>
    <t>Ban'thok Sash</t>
  </si>
  <si>
    <t>Songstone of Ironforge</t>
  </si>
  <si>
    <t>Aged Core Leather Gloves</t>
  </si>
  <si>
    <t>Stormrage Cover</t>
  </si>
  <si>
    <t>Stormrage Pauldrons</t>
  </si>
  <si>
    <t>Stormrage Bracers</t>
  </si>
  <si>
    <t>Stormrage Handguards</t>
  </si>
  <si>
    <t>Draconic Maul</t>
  </si>
  <si>
    <t>Sungrass</t>
  </si>
  <si>
    <t>Greater Stoneshield Potion</t>
  </si>
  <si>
    <t>Gnomish Cloaking Device</t>
  </si>
  <si>
    <t>Nifty Stopwatch</t>
  </si>
  <si>
    <t>Invisibility Potion</t>
  </si>
  <si>
    <t>Large Seaforium Charge</t>
  </si>
  <si>
    <t>Nature Protection Potion</t>
  </si>
  <si>
    <t>Material</t>
  </si>
  <si>
    <t>Qty</t>
  </si>
  <si>
    <t>Sub Materials</t>
  </si>
  <si>
    <t>elemental fire</t>
  </si>
  <si>
    <t>mountain silversage</t>
  </si>
  <si>
    <t>Heart of the Wild</t>
  </si>
  <si>
    <t>Shadow Silk</t>
  </si>
  <si>
    <t>Lesser Stoneshield Potion</t>
  </si>
  <si>
    <t>Crystal Vial</t>
  </si>
  <si>
    <t>Major Mana Potion</t>
  </si>
  <si>
    <t>Restorative Potion</t>
  </si>
  <si>
    <t>Elixir of the Mongoose</t>
  </si>
  <si>
    <t>Elixir of Fortitude</t>
  </si>
  <si>
    <t>Golden Sansam</t>
  </si>
  <si>
    <t>Ichor of Undeath</t>
  </si>
  <si>
    <t>Tender Wolf Meat</t>
  </si>
  <si>
    <t>Major Healing Potion</t>
  </si>
  <si>
    <t>Liferoot</t>
  </si>
  <si>
    <t>Elixir of Superior Defense</t>
  </si>
  <si>
    <t>Elixir of Giants</t>
  </si>
  <si>
    <t>Fadeleaf</t>
  </si>
  <si>
    <t>Thorium Ore</t>
  </si>
  <si>
    <t>Empty Vial</t>
  </si>
  <si>
    <t>Hearthstone</t>
  </si>
  <si>
    <t>Greater Shadow Protection Potion</t>
  </si>
  <si>
    <t>Free Action Potion</t>
  </si>
  <si>
    <t>Elixir of Greater Defense</t>
  </si>
  <si>
    <t>Backup:</t>
  </si>
  <si>
    <t>Ground Scorpok Assay</t>
  </si>
  <si>
    <t>Ironwood Seed</t>
  </si>
  <si>
    <t>R.O.I.D.S.</t>
  </si>
  <si>
    <t>Blessed Sunfruit</t>
  </si>
  <si>
    <t>Drakefire Amulet</t>
  </si>
  <si>
    <t>Mark of the Chosen</t>
  </si>
  <si>
    <t>=IF($B2=$B3,C2+C3,
IF($B2=$B1,"",C2))</t>
  </si>
  <si>
    <t>Onyxia Scale Cloak</t>
  </si>
  <si>
    <t>Juju Ember</t>
  </si>
  <si>
    <t>Swift White Steed</t>
  </si>
  <si>
    <t>Cache of Mau'ari</t>
  </si>
  <si>
    <t>Juju Might</t>
  </si>
  <si>
    <t>Goblin Jumper Cables XL</t>
  </si>
  <si>
    <t>Stormrage Belt</t>
  </si>
  <si>
    <t>Gnomish Death Ray</t>
  </si>
  <si>
    <t>Stormrage Boots</t>
  </si>
  <si>
    <t>Hide of the Wild</t>
  </si>
  <si>
    <t>Mallet of Zul'Farrak</t>
  </si>
  <si>
    <t>Bag of Marbles</t>
  </si>
  <si>
    <t>Rosewine Circle</t>
  </si>
  <si>
    <t>Tribal War Feathers of Nature Resistance</t>
  </si>
  <si>
    <t>Sardonyx Knuckle of Nature Resistance</t>
  </si>
  <si>
    <t>Cenarion Reservist's Leggings</t>
  </si>
  <si>
    <t>Stormpike Battle Standard</t>
  </si>
  <si>
    <t>Barov Peasant Caller</t>
  </si>
  <si>
    <t>Phytoskin Spaulders</t>
  </si>
  <si>
    <t>Master Dragonslayer's Medallion</t>
  </si>
  <si>
    <t>Shadewood Cloak</t>
  </si>
  <si>
    <t>Ultrasafe Transporter: Gadgetzan</t>
  </si>
  <si>
    <t>Cannonball Runner</t>
  </si>
  <si>
    <t>Nat Pagle's Broken Reel</t>
  </si>
  <si>
    <t>Glowing Brightwood Staff</t>
  </si>
  <si>
    <t>Fangdrip Runners</t>
  </si>
  <si>
    <t>Cenarion Spaulders</t>
  </si>
  <si>
    <t>Heart of Noxxion</t>
  </si>
  <si>
    <t>Cenarion Plant Salve</t>
  </si>
  <si>
    <t>Parachute Cloak</t>
  </si>
  <si>
    <t>Chloromesh Girdle</t>
  </si>
  <si>
    <t>Light of Elune</t>
  </si>
  <si>
    <t>Philosopher's Stone</t>
  </si>
  <si>
    <t>Scepter of Celebras</t>
  </si>
  <si>
    <t>Carrot on a Stick</t>
  </si>
  <si>
    <t>Sandfury Coin</t>
  </si>
  <si>
    <t>Skullsplitter Coin</t>
  </si>
  <si>
    <t>Slitherscale Boots</t>
  </si>
  <si>
    <t>Briarthorn</t>
  </si>
  <si>
    <t>Dark Rune</t>
  </si>
  <si>
    <t>Volatile Rum</t>
  </si>
  <si>
    <t>Catseye Elixir</t>
  </si>
  <si>
    <t>Demonic Rune</t>
  </si>
  <si>
    <t>Spirit of Zanza</t>
  </si>
  <si>
    <t>Smoked Desert Dumplings</t>
  </si>
  <si>
    <t>sandworm meat</t>
  </si>
  <si>
    <t>Juju Power</t>
  </si>
  <si>
    <t>Juju Flurry</t>
  </si>
  <si>
    <t>Kreeg's Stout Beatdown</t>
  </si>
  <si>
    <t>Flask of Distilled Wisdom</t>
  </si>
  <si>
    <t>Spider Belt</t>
  </si>
  <si>
    <t>Pattern: Black Dragonscale Leggings</t>
  </si>
  <si>
    <t>The Light and How to Swing It</t>
  </si>
  <si>
    <t>Yellow Power Crystal</t>
  </si>
  <si>
    <t>Harnessing Shadows</t>
  </si>
  <si>
    <t>Felcloth</t>
  </si>
  <si>
    <t>Dark Iron Residue</t>
  </si>
  <si>
    <t>Five of Warlords</t>
  </si>
  <si>
    <t>Brilliant Chromatic Scale</t>
  </si>
  <si>
    <t>The Arcanist's Cookbook</t>
  </si>
  <si>
    <t>Un'Goro Soil</t>
  </si>
  <si>
    <t>Preserved Holly</t>
  </si>
  <si>
    <t>Cow King's Hide</t>
  </si>
  <si>
    <t>Codex: Prayer of Fortitude</t>
  </si>
  <si>
    <t>Schematic: Sniper Scope</t>
  </si>
  <si>
    <t>Codex of Defense</t>
  </si>
  <si>
    <t>Red Power Crystal</t>
  </si>
  <si>
    <t>Two of Warlords</t>
  </si>
  <si>
    <t>Pattern: Felcloth Shoulders</t>
  </si>
  <si>
    <t>Ace of Warlords</t>
  </si>
  <si>
    <t>Formula: Smoking Heart of the Mountain</t>
  </si>
  <si>
    <t>Three of Elementals</t>
  </si>
  <si>
    <t>Garona: A Study on Stealth and Treachery</t>
  </si>
  <si>
    <t>Schematic: Major Recombobulator</t>
  </si>
  <si>
    <t>Pattern: Black Dragonscale Shoulders</t>
  </si>
  <si>
    <t>Evil Bat Eye</t>
  </si>
  <si>
    <t>Red Dragonscale</t>
  </si>
  <si>
    <t>Scorpid Scale</t>
  </si>
  <si>
    <t>Scroll of Strength IV</t>
  </si>
  <si>
    <t>Small Furry Paw</t>
  </si>
  <si>
    <t>Bone Fragments</t>
  </si>
  <si>
    <t>Runn Tum Tuber</t>
  </si>
  <si>
    <t>Chillwind E'ko</t>
  </si>
  <si>
    <t>Soft Bushy Tail</t>
  </si>
  <si>
    <t>Plans: Searing Golden Blade</t>
  </si>
  <si>
    <t>Firebane Cloak</t>
  </si>
  <si>
    <t>Plans: Stronghold Gauntlets</t>
  </si>
  <si>
    <t>Dark Iron Scraps</t>
  </si>
  <si>
    <t>Crypt Fiend Parts</t>
  </si>
  <si>
    <t>Thick Spider's Silk</t>
  </si>
  <si>
    <t>Incendosaur Scale</t>
  </si>
  <si>
    <t>Plans: Invulnerable Mail</t>
  </si>
  <si>
    <t>scorpok pincer</t>
  </si>
  <si>
    <t>snickerfang jowl</t>
  </si>
  <si>
    <t>blasted boar lung</t>
  </si>
  <si>
    <t>vulture gizzard</t>
  </si>
  <si>
    <t>Zulian Coin</t>
  </si>
  <si>
    <t>Big Iron Fishing Pole</t>
  </si>
  <si>
    <t>Khadgar's Whisker</t>
  </si>
  <si>
    <t>Mageroyal</t>
  </si>
  <si>
    <t>Bruiseweed</t>
  </si>
  <si>
    <t>Deviate Fish</t>
  </si>
  <si>
    <t>Arthas' Tears</t>
  </si>
  <si>
    <t>Earthroot</t>
  </si>
  <si>
    <t>Kingsblood</t>
  </si>
  <si>
    <t>Swiftthistle</t>
  </si>
  <si>
    <t>Savory Deviate Delight</t>
  </si>
  <si>
    <t>Swiftness Potion</t>
  </si>
  <si>
    <t>Purple Lotus</t>
  </si>
  <si>
    <t>Hyper-Radiant Flame Reflector</t>
  </si>
  <si>
    <t>Lava Belt</t>
  </si>
  <si>
    <t>Gift of Arthas</t>
  </si>
  <si>
    <t>Bloodtinged Gloves</t>
  </si>
  <si>
    <t>Winterfall Firewater</t>
  </si>
  <si>
    <t>Diana's Pearl Necklace</t>
  </si>
  <si>
    <t>Book: Gift of the Wild</t>
  </si>
  <si>
    <t>Punctured Voodoo Doll</t>
  </si>
  <si>
    <t>Aquadynamic Fish Attractor</t>
  </si>
  <si>
    <t>Limited Invulnerability Potion</t>
  </si>
  <si>
    <t>blindweed</t>
  </si>
  <si>
    <t>ghost mushroom</t>
  </si>
  <si>
    <t>Pattern: Cindercloth Gloves</t>
  </si>
  <si>
    <t>Four of Elementals</t>
  </si>
  <si>
    <t>Recipe: Elixir of Giants</t>
  </si>
  <si>
    <t>Core of Elements</t>
  </si>
  <si>
    <t>Razzashi Coin</t>
  </si>
  <si>
    <t>Libram of Tenacity</t>
  </si>
  <si>
    <t>Rugged Leather</t>
  </si>
  <si>
    <t>Band of Cenarius</t>
  </si>
  <si>
    <t>Recipe: Greater Stoneshield Potion</t>
  </si>
  <si>
    <t>Greater Arcane Protection Potion</t>
  </si>
  <si>
    <t>Greater Nature Protection Potion</t>
  </si>
  <si>
    <t>Beetle Scaled Wristguards</t>
  </si>
  <si>
    <t>Regenerating Belt of Vek'nilash</t>
  </si>
  <si>
    <t>Elementium Threaded Cloak</t>
  </si>
  <si>
    <t>Ivory Scarab</t>
  </si>
  <si>
    <t>Wild Steelbloom</t>
  </si>
  <si>
    <t>Goblin Sapper Charge</t>
  </si>
  <si>
    <t>Brilliant Mana Oil</t>
  </si>
  <si>
    <t>Runecloth Bag</t>
  </si>
  <si>
    <t>Nightfin Soup</t>
  </si>
  <si>
    <t>Rumsey Rum Black Label</t>
  </si>
  <si>
    <t>Frostsaber E'ko</t>
  </si>
  <si>
    <t>Three of Warlords</t>
  </si>
  <si>
    <t>Basilisk Brain</t>
  </si>
  <si>
    <t>Mountain Silversage</t>
  </si>
  <si>
    <t>Hourglass Sand</t>
  </si>
  <si>
    <t>Stranglekelp</t>
  </si>
  <si>
    <t>Greater Fire Protection Potion</t>
  </si>
  <si>
    <t>Libram of Rumination</t>
  </si>
  <si>
    <t>Traveler's Backpack</t>
  </si>
  <si>
    <t>Bolt of Runecloth</t>
  </si>
  <si>
    <t>Greater Frost Protection Potion</t>
  </si>
  <si>
    <t>Wildkin E'ko</t>
  </si>
  <si>
    <t>Bone Scarab</t>
  </si>
  <si>
    <t>Lambent Idol</t>
  </si>
  <si>
    <t>Bronze Scarab</t>
  </si>
  <si>
    <t>Alabaster Idol</t>
  </si>
  <si>
    <t>Abyssal Signet</t>
  </si>
  <si>
    <t>Stone Scarab</t>
  </si>
  <si>
    <t>liferoot</t>
  </si>
  <si>
    <t>elemental water</t>
  </si>
  <si>
    <t>Whipper Root Tuber</t>
  </si>
  <si>
    <t>runecloth</t>
  </si>
  <si>
    <t>Ghost Mushroom</t>
  </si>
  <si>
    <t>Stratholme Holy Water</t>
  </si>
  <si>
    <t>Superior Healing Potion</t>
  </si>
  <si>
    <t>Gromsblood</t>
  </si>
  <si>
    <t>Winterfall E'ko</t>
  </si>
  <si>
    <t>Elemental Earth</t>
  </si>
  <si>
    <t>Zandalarian Hero Badge</t>
  </si>
  <si>
    <t>Consecrated Sharpening Stone</t>
  </si>
  <si>
    <t>Primal Batskin Gloves</t>
  </si>
  <si>
    <t>Heavy Dark Iron Ring</t>
  </si>
  <si>
    <t>Scroll of Stamina IV</t>
  </si>
  <si>
    <t>Scroll of Spirit IV</t>
  </si>
  <si>
    <t>Azerothian Diamond</t>
  </si>
  <si>
    <t>Snickerfang Jowl</t>
  </si>
  <si>
    <t>Silver Scarab</t>
  </si>
  <si>
    <t>Onyx Idol</t>
  </si>
  <si>
    <t>Crystal Scarab</t>
  </si>
  <si>
    <t>Clay Scarab</t>
  </si>
  <si>
    <t>Thick Qirajihide Belt</t>
  </si>
  <si>
    <t>Elemental Fire</t>
  </si>
  <si>
    <t>Elemental Sharpening Stone</t>
  </si>
  <si>
    <t>Amber Idol</t>
  </si>
  <si>
    <t>Orb of Deception</t>
  </si>
  <si>
    <t>Mageflame Cloak</t>
  </si>
  <si>
    <t>Elemental Water</t>
  </si>
  <si>
    <t>Necklace of Purity</t>
  </si>
  <si>
    <t>Elixir of Poison Resistance</t>
  </si>
  <si>
    <t>Frost Oil</t>
  </si>
  <si>
    <t>Oil of Immolation</t>
  </si>
  <si>
    <t>Huge Venom Sac</t>
  </si>
  <si>
    <t>Misc.</t>
  </si>
  <si>
    <t>Dream Dust</t>
  </si>
  <si>
    <t>Grave Moss</t>
  </si>
  <si>
    <t>Libram of Voracity</t>
  </si>
  <si>
    <t>Spider's Silk</t>
  </si>
  <si>
    <t>Small Brown Pouch</t>
  </si>
  <si>
    <t>Small Red Pouch</t>
  </si>
  <si>
    <t>Green Hills of Stranglethorn - Page 14</t>
  </si>
  <si>
    <t>Green Hills of Stranglethorn - Page 20</t>
  </si>
  <si>
    <t>Tiger Meat</t>
  </si>
  <si>
    <t>Green Hills of Stranglethorn - Page 11</t>
  </si>
  <si>
    <t>Greater Mana Potion</t>
  </si>
  <si>
    <t>Blasted Boar Lung</t>
  </si>
  <si>
    <t>Vulture Gizzard</t>
  </si>
  <si>
    <t>Plans: Whitesoul Helm</t>
  </si>
  <si>
    <t>Counterattack Lodestone</t>
  </si>
  <si>
    <t>Primal Batskin Jerkin</t>
  </si>
  <si>
    <t>Superior Mana Potion</t>
  </si>
  <si>
    <t>dense stone</t>
  </si>
  <si>
    <t>AQ40</t>
  </si>
  <si>
    <t>BWL</t>
  </si>
  <si>
    <t>NAXX</t>
  </si>
  <si>
    <t>RAID:</t>
  </si>
  <si>
    <t>Holy Bologna: What the Light Won't Tell You</t>
  </si>
  <si>
    <t>Dirge's Kickin' Chimaerok Chops</t>
  </si>
  <si>
    <t>Plaguebloom</t>
  </si>
  <si>
    <t>Wasphide Gauntlets</t>
  </si>
  <si>
    <t>Grilled Squid</t>
  </si>
  <si>
    <t>Libram of Protection</t>
  </si>
  <si>
    <t>Heavy Runecloth Bandage</t>
  </si>
  <si>
    <t>Circle of Applied Force</t>
  </si>
  <si>
    <t>Poached Sunscale Salmon</t>
  </si>
  <si>
    <t>Blindweed</t>
  </si>
  <si>
    <t>C:\Users\89fox\Downloads\VanillaWoWNew\World of Warcraft 1.12\WTF\Account\YUKONCORNELIUS\SavedVariables\AdvancedTradeSkillWindow.lua</t>
  </si>
  <si>
    <t>ATSW File Location:</t>
  </si>
  <si>
    <t>Eternal Quintessence</t>
  </si>
  <si>
    <t>Dense Stone</t>
  </si>
  <si>
    <t>Ice Thistle E'ko</t>
  </si>
  <si>
    <t>Wintersbite</t>
  </si>
  <si>
    <t>Mageblood Potion</t>
  </si>
  <si>
    <t>Major Troll's Blood Potion</t>
  </si>
  <si>
    <t>Seal of the Dawn</t>
  </si>
  <si>
    <t>Rune of Metamorphosis</t>
  </si>
  <si>
    <t>Mana Potion</t>
  </si>
  <si>
    <t>X</t>
  </si>
  <si>
    <t>Earthweave Cloak</t>
  </si>
  <si>
    <t>Boots of the Vanguard</t>
  </si>
  <si>
    <t>Yellow Qiraji Resonating Crystal</t>
  </si>
  <si>
    <t>solid stone</t>
  </si>
  <si>
    <t>solid blasting powder</t>
  </si>
  <si>
    <t>mithril bar</t>
  </si>
  <si>
    <t>unstable trigger</t>
  </si>
  <si>
    <t xml:space="preserve"> </t>
  </si>
  <si>
    <t>Recipe: Elixir of the Mongoose</t>
  </si>
  <si>
    <t>The Greatest Race of Hunters</t>
  </si>
  <si>
    <t>Brilliant Wizard Oil</t>
  </si>
  <si>
    <t>Mistletoe</t>
  </si>
  <si>
    <t>Flask of Supreme Power</t>
  </si>
  <si>
    <t>icecap</t>
  </si>
  <si>
    <t>golden sansam</t>
  </si>
  <si>
    <t>chimaerok tenderloin</t>
  </si>
  <si>
    <t>goblin rocket fuel</t>
  </si>
  <si>
    <t>deeprock salt</t>
  </si>
  <si>
    <t>hot spices</t>
  </si>
  <si>
    <t>large brilliant shard</t>
  </si>
  <si>
    <t>purple lotus</t>
  </si>
  <si>
    <t>imbued vial</t>
  </si>
  <si>
    <t>firebloom</t>
  </si>
  <si>
    <t>raw nightfin snapper</t>
  </si>
  <si>
    <t>refreshing spring water</t>
  </si>
  <si>
    <t>black lotus</t>
  </si>
  <si>
    <t>Goblin Rocket Fuel</t>
  </si>
  <si>
    <t>Imbued Vial</t>
  </si>
  <si>
    <t>Firebloom</t>
  </si>
  <si>
    <t>Elixir of Shadow Power</t>
  </si>
  <si>
    <t>Elixir of Greater Fire Power</t>
  </si>
  <si>
    <t>fire oil</t>
  </si>
  <si>
    <t>Fire Oil</t>
  </si>
  <si>
    <t>Firefin Snapper</t>
  </si>
  <si>
    <t>firefin snapper</t>
  </si>
  <si>
    <t>Juju Chill</t>
  </si>
  <si>
    <t>Soothing Spices</t>
  </si>
  <si>
    <t>Sandworm Meat</t>
  </si>
  <si>
    <t>Icecap</t>
  </si>
  <si>
    <t>Chimaerok Tenderloin</t>
  </si>
  <si>
    <t>Deeprock Salt</t>
  </si>
  <si>
    <t>Hot Spices</t>
  </si>
  <si>
    <t>Large Brilliant Shard</t>
  </si>
  <si>
    <t>Raw Nightfin Snapper</t>
  </si>
  <si>
    <t>Refreshing Spring Water</t>
  </si>
  <si>
    <t>Black Lotus</t>
  </si>
  <si>
    <t>Winterfall E'Ko</t>
  </si>
  <si>
    <t>Frostmaul E'Ko</t>
  </si>
  <si>
    <t>Frostsaber E'Ko</t>
  </si>
  <si>
    <t>Shardtooth E'Ko</t>
  </si>
  <si>
    <t>Chillwind E'Ko</t>
  </si>
  <si>
    <t>Scorpok Pincer</t>
  </si>
  <si>
    <t>raw sunscale salmon</t>
  </si>
  <si>
    <t>Raw Sunscale Salmon</t>
  </si>
  <si>
    <t>Gold Hakkari Bijou</t>
  </si>
  <si>
    <t>Mighty Rage Potion</t>
  </si>
  <si>
    <t>blue hakkari bijou</t>
  </si>
  <si>
    <t>bronze hakkari bijou</t>
  </si>
  <si>
    <t>gold hakkari bijou</t>
  </si>
  <si>
    <t>green hakkari bijou</t>
  </si>
  <si>
    <t>orange hakkari bijou</t>
  </si>
  <si>
    <t>purple hakkari bijou</t>
  </si>
  <si>
    <t>red hakkari bijou</t>
  </si>
  <si>
    <t>silver hakkari bijou</t>
  </si>
  <si>
    <t>yellow hakkari bijou</t>
  </si>
  <si>
    <t>Total Bijous</t>
  </si>
  <si>
    <t>Bijou (All Colors)</t>
  </si>
  <si>
    <t>arthas' tears</t>
  </si>
  <si>
    <t>Greater Arcane Elixir</t>
  </si>
  <si>
    <t>Elixir of Greater Agility</t>
  </si>
  <si>
    <t>Magic Resistance Potion</t>
  </si>
  <si>
    <t>large venom sac</t>
  </si>
  <si>
    <t>bruiseweed</t>
  </si>
  <si>
    <t>Large Venom Sac</t>
  </si>
  <si>
    <t>khadgar's whisker</t>
  </si>
  <si>
    <t>Dense Sharpening Stone</t>
  </si>
  <si>
    <t>Thistle Tea</t>
  </si>
  <si>
    <t>swiftthistle</t>
  </si>
  <si>
    <t>Runecloth</t>
  </si>
  <si>
    <t>Runn Tum Tuber Surprise</t>
  </si>
  <si>
    <t>runn tum tuber</t>
  </si>
  <si>
    <t>cenarion plant salve</t>
  </si>
  <si>
    <t>mageweave cloth</t>
  </si>
  <si>
    <t>Solid Blasting Powder</t>
  </si>
  <si>
    <t>Unstable Trigger</t>
  </si>
  <si>
    <t>Mageweave Cloth</t>
  </si>
  <si>
    <t>Solid Stone</t>
  </si>
  <si>
    <t>Mithril Bar</t>
  </si>
  <si>
    <t>ONY</t>
  </si>
  <si>
    <t>MC</t>
  </si>
  <si>
    <t>MADE BY: 
MAULBATROSS (KRONOS 3)</t>
  </si>
  <si>
    <r>
      <t>Instructions:</t>
    </r>
    <r>
      <rPr>
        <sz val="11"/>
        <color theme="5" tint="0.59999389629810485"/>
        <rFont val="Calibri"/>
        <family val="2"/>
        <scheme val="minor"/>
      </rPr>
      <t xml:space="preserve">
</t>
    </r>
    <r>
      <rPr>
        <b/>
        <sz val="11"/>
        <color theme="5" tint="0.59999389629810485"/>
        <rFont val="Calibri"/>
        <family val="2"/>
        <scheme val="minor"/>
      </rPr>
      <t>1.</t>
    </r>
    <r>
      <rPr>
        <sz val="11"/>
        <color theme="5" tint="0.59999389629810485"/>
        <rFont val="Calibri"/>
        <family val="2"/>
        <scheme val="minor"/>
      </rPr>
      <t xml:space="preserve"> </t>
    </r>
    <r>
      <rPr>
        <sz val="11"/>
        <color rgb="FF92D050"/>
        <rFont val="Calibri"/>
        <family val="2"/>
        <scheme val="minor"/>
      </rPr>
      <t>Download Advanced Trade Skill Window addon (ATSW) and install.</t>
    </r>
    <r>
      <rPr>
        <sz val="11"/>
        <color theme="5" tint="0.59999389629810485"/>
        <rFont val="Calibri"/>
        <family val="2"/>
        <scheme val="minor"/>
      </rPr>
      <t xml:space="preserve"> 
</t>
    </r>
    <r>
      <rPr>
        <b/>
        <sz val="11"/>
        <color theme="5" tint="0.59999389629810485"/>
        <rFont val="Calibri"/>
        <family val="2"/>
        <scheme val="minor"/>
      </rPr>
      <t>2.</t>
    </r>
    <r>
      <rPr>
        <sz val="11"/>
        <color theme="5" tint="0.59999389629810485"/>
        <rFont val="Calibri"/>
        <family val="2"/>
        <scheme val="minor"/>
      </rPr>
      <t xml:space="preserve"> Enable ATSW for each character that contains consumables or materials for consumables.
</t>
    </r>
    <r>
      <rPr>
        <b/>
        <sz val="11"/>
        <color theme="5" tint="0.59999389629810485"/>
        <rFont val="Calibri"/>
        <family val="2"/>
        <scheme val="minor"/>
      </rPr>
      <t>3.</t>
    </r>
    <r>
      <rPr>
        <sz val="11"/>
        <color theme="5" tint="0.59999389629810485"/>
        <rFont val="Calibri"/>
        <family val="2"/>
        <scheme val="minor"/>
      </rPr>
      <t xml:space="preserve"> Log on to each character from step 2 and open their bags and bank once, then log out.
</t>
    </r>
    <r>
      <rPr>
        <b/>
        <sz val="11"/>
        <color theme="5" tint="0.59999389629810485"/>
        <rFont val="Calibri"/>
        <family val="2"/>
        <scheme val="minor"/>
      </rPr>
      <t>4.</t>
    </r>
    <r>
      <rPr>
        <sz val="11"/>
        <color theme="5" tint="0.59999389629810485"/>
        <rFont val="Calibri"/>
        <family val="2"/>
        <scheme val="minor"/>
      </rPr>
      <t xml:space="preserve"> Locate AdvancedTradeSkillWindow.lua file in your saved variables folder (WTF&gt;Account&gt;"Account Name"&gt;SavedVariables&gt;AdvancedTradeSkillWindow.lua) and paste the file location in cell AL2 above.
</t>
    </r>
    <r>
      <rPr>
        <b/>
        <sz val="11"/>
        <color theme="5" tint="0.59999389629810485"/>
        <rFont val="Calibri"/>
        <family val="2"/>
        <scheme val="minor"/>
      </rPr>
      <t>5.</t>
    </r>
    <r>
      <rPr>
        <sz val="11"/>
        <color theme="5" tint="0.59999389629810485"/>
        <rFont val="Calibri"/>
        <family val="2"/>
        <scheme val="minor"/>
      </rPr>
      <t xml:space="preserve"> Enter the desired amount of each consumable for each raid in the table to the right.
</t>
    </r>
    <r>
      <rPr>
        <b/>
        <sz val="11"/>
        <color theme="5" tint="0.59999389629810485"/>
        <rFont val="Calibri"/>
        <family val="2"/>
        <scheme val="minor"/>
      </rPr>
      <t>6.</t>
    </r>
    <r>
      <rPr>
        <sz val="11"/>
        <color theme="5" tint="0.59999389629810485"/>
        <rFont val="Calibri"/>
        <family val="2"/>
        <scheme val="minor"/>
      </rPr>
      <t xml:space="preserve"> Click the Refresh button above to update the list to the left.
</t>
    </r>
    <r>
      <rPr>
        <b/>
        <sz val="11"/>
        <color theme="5" tint="0.59999389629810485"/>
        <rFont val="Calibri"/>
        <family val="2"/>
        <scheme val="minor"/>
      </rPr>
      <t>7.</t>
    </r>
    <r>
      <rPr>
        <sz val="11"/>
        <color theme="5" tint="0.59999389629810485"/>
        <rFont val="Calibri"/>
        <family val="2"/>
        <scheme val="minor"/>
      </rPr>
      <t xml:space="preserve"> Choose the desired raids you need consumables for in cells AI2, AI3, and AI4. (X for none)</t>
    </r>
  </si>
  <si>
    <t>(CTRL+O)</t>
  </si>
  <si>
    <t>Consumables For Each Raid</t>
  </si>
  <si>
    <t>Insignia of the Crusade</t>
  </si>
  <si>
    <t>Insignia of the Dawn</t>
  </si>
  <si>
    <t>Vilebranch Coin</t>
  </si>
  <si>
    <t>Major Rejuvenation Potion</t>
  </si>
  <si>
    <t>Worn Dragonscale</t>
  </si>
  <si>
    <t>The Big One</t>
  </si>
  <si>
    <t>Wildvine</t>
  </si>
  <si>
    <t>Aqual Quintessence</t>
  </si>
  <si>
    <t>Dense Dynamite</t>
  </si>
  <si>
    <t>dense blasting powder</t>
  </si>
  <si>
    <t>Dense Blasting Powder</t>
  </si>
  <si>
    <t>Bloodscalp Coin</t>
  </si>
  <si>
    <t>Gem of Nerubis</t>
  </si>
  <si>
    <t>Wild Thornroot</t>
  </si>
  <si>
    <t>Witherbark Coin</t>
  </si>
  <si>
    <t>Polar Shoulder Pads</t>
  </si>
  <si>
    <t>Hakkari Coin</t>
  </si>
  <si>
    <t>Polar Leggings</t>
  </si>
  <si>
    <t>Icy Cloak</t>
  </si>
  <si>
    <t>Swashbuckler's Belt of Frost Resistance</t>
  </si>
  <si>
    <t>Polar Gloves</t>
  </si>
  <si>
    <t>Three of Beasts</t>
  </si>
  <si>
    <t>}</t>
  </si>
  <si>
    <t>Ramaladni's Icy Grasp</t>
  </si>
  <si>
    <t>Blessed Qiraji War Hammer</t>
  </si>
  <si>
    <t>Heavy Leather</t>
  </si>
  <si>
    <t>Lesser Invisibility Potion</t>
  </si>
  <si>
    <t>Tribute Run</t>
  </si>
  <si>
    <t>{</t>
  </si>
  <si>
    <t>Silverleaf</t>
  </si>
  <si>
    <t>Linen Bandage</t>
  </si>
  <si>
    <t>Timberling Seed</t>
  </si>
  <si>
    <t>Tough Jerky</t>
  </si>
  <si>
    <t>Shiny Red Apple</t>
  </si>
  <si>
    <t>Snapped Spider Limb</t>
  </si>
  <si>
    <t>Forest Mushroom Cap</t>
  </si>
  <si>
    <t>Gardening Gloves</t>
  </si>
  <si>
    <t>Small Spider Leg</t>
  </si>
  <si>
    <t>Healing Herb</t>
  </si>
  <si>
    <t>Tourmaline Phial</t>
  </si>
  <si>
    <t>Shardtooth E'ko</t>
  </si>
  <si>
    <t>Frostmaul E'ko</t>
  </si>
  <si>
    <t>Alterac Manna Biscuit</t>
  </si>
  <si>
    <t>Gurubashi Coin</t>
  </si>
  <si>
    <t>Five of Portals</t>
  </si>
  <si>
    <t>Magmus Stone</t>
  </si>
  <si>
    <t>Holy Protection Potion</t>
  </si>
  <si>
    <t>Ring of The Dreamwalker</t>
  </si>
  <si>
    <t>Eight of Elementals</t>
  </si>
  <si>
    <t>Silver Hakkari Bijou</t>
  </si>
  <si>
    <t>Southwind Helm</t>
  </si>
  <si>
    <t>Ring of Emperor Vek'lor</t>
  </si>
  <si>
    <t>Stormpike Insignia Rank 6</t>
  </si>
  <si>
    <t>Gnomish Mind Control Cap</t>
  </si>
  <si>
    <t>Sardonyx Knuckle of Fire Resistance</t>
  </si>
  <si>
    <t>Handbook of Feint V</t>
  </si>
  <si>
    <t>Gold Scarab</t>
  </si>
  <si>
    <t>Major Mana Draught</t>
  </si>
  <si>
    <t>Cenarion Beacon</t>
  </si>
  <si>
    <t>Major Healing Draught</t>
  </si>
  <si>
    <t>Four of Portals</t>
  </si>
  <si>
    <t>Two of Portals</t>
  </si>
  <si>
    <t>Codex: Prayer of Shadow Protection</t>
  </si>
  <si>
    <t>Dark Heart Pants</t>
  </si>
  <si>
    <t>Earthstrike</t>
  </si>
  <si>
    <t>Mantle of Wicked Revenge</t>
  </si>
  <si>
    <t>Ghoul Skin Tunic</t>
  </si>
  <si>
    <t>Hand of Justice</t>
  </si>
  <si>
    <t>Tome of Knowledge</t>
  </si>
  <si>
    <t>Boots of the Shadow Flame</t>
  </si>
  <si>
    <t>Wolfshead Helm</t>
  </si>
  <si>
    <t>Idol of Ferocity</t>
  </si>
  <si>
    <t>Cloak of Draconic Might</t>
  </si>
  <si>
    <t>Signet Ring of the Bronze Dragonflight</t>
  </si>
  <si>
    <t>Prestor's Talisman of Connivery</t>
  </si>
  <si>
    <t>Scaled Bracers of the Gorger</t>
  </si>
  <si>
    <t>Ironweb Spider Silk</t>
  </si>
  <si>
    <t>Two of Elementals</t>
  </si>
  <si>
    <t>Spellweaver's Turban</t>
  </si>
  <si>
    <t>Sublime Wristguards</t>
  </si>
  <si>
    <t>Jin'do's Bag of Whammies</t>
  </si>
  <si>
    <t>Cloak of the Hakkari Worshipers</t>
  </si>
  <si>
    <t>Maiden's Circle</t>
  </si>
  <si>
    <t>Zanzil's Band</t>
  </si>
  <si>
    <t>Gloves of Ebru</t>
  </si>
  <si>
    <t>Leggings of Immersion</t>
  </si>
  <si>
    <t>Briarwood Reed</t>
  </si>
  <si>
    <t>Belt of Untapped Power</t>
  </si>
  <si>
    <t>Idol of the Moon</t>
  </si>
  <si>
    <t>Jeklik's Opaline Talisman</t>
  </si>
  <si>
    <t>Waterspout Boots</t>
  </si>
  <si>
    <t>Zandalar Honor Token</t>
  </si>
  <si>
    <t>Flint and Tinder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</si>
</sst>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6" x14ac:knownFonts="1">
    <font>
      <sz val="11"/>
      <color theme="1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5" tint="0.59999389629810485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2D050"/>
      <name val="Calibri"/>
      <family val="2"/>
      <scheme val="minor"/>
    </font>
    <font>
      <b/>
      <i/>
      <sz val="14"/>
      <color theme="5" tint="0.39997558519241921"/>
      <name val="Calibri"/>
      <family val="2"/>
      <scheme val="minor"/>
    </font>
    <font>
      <sz val="10"/>
      <color rgb="FF000000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3F1E7A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644A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23">
    <border>
      <left/>
      <right/>
      <top/>
      <bottom/>
      <diagonal/>
    </border>
    <border>
      <left style="thin">
        <color rgb="FF696969"/>
      </left>
      <right style="thin">
        <color rgb="FF696969"/>
      </right>
      <top style="thin">
        <color rgb="FF696969"/>
      </top>
      <bottom style="thin">
        <color rgb="FF696969"/>
      </bottom>
      <diagonal/>
    </border>
    <border>
      <left/>
      <right style="thin">
        <color rgb="FF696969"/>
      </right>
      <top style="thin">
        <color rgb="FF696969"/>
      </top>
      <bottom style="thin">
        <color rgb="FF696969"/>
      </bottom>
      <diagonal/>
    </border>
    <border>
      <left style="thin">
        <color rgb="FF696969"/>
      </left>
      <right style="thin">
        <color rgb="FF696969"/>
      </right>
      <top style="thin">
        <color rgb="FF696969"/>
      </top>
      <bottom/>
      <diagonal/>
    </border>
    <border>
      <left style="thin">
        <color rgb="FF696969"/>
      </left>
      <right style="thin">
        <color rgb="FF696969"/>
      </right>
      <top/>
      <bottom style="thin">
        <color rgb="FF696969"/>
      </bottom>
      <diagonal/>
    </border>
    <border>
      <left style="thin">
        <color rgb="FF696969"/>
      </left>
      <right/>
      <top style="thin">
        <color rgb="FF696969"/>
      </top>
      <bottom style="thin">
        <color rgb="FF696969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696969"/>
      </left>
      <right/>
      <top/>
      <bottom/>
      <diagonal/>
    </border>
    <border>
      <left/>
      <right style="thin">
        <color rgb="FF696969"/>
      </right>
      <top/>
      <bottom/>
      <diagonal/>
    </border>
    <border>
      <left style="thin">
        <color rgb="FF696969"/>
      </left>
      <right/>
      <top/>
      <bottom style="thin">
        <color rgb="FF696969"/>
      </bottom>
      <diagonal/>
    </border>
    <border>
      <left/>
      <right/>
      <top/>
      <bottom style="thin">
        <color rgb="FF696969"/>
      </bottom>
      <diagonal/>
    </border>
    <border>
      <left/>
      <right style="thin">
        <color rgb="FF696969"/>
      </right>
      <top/>
      <bottom style="thin">
        <color rgb="FF696969"/>
      </bottom>
      <diagonal/>
    </border>
    <border>
      <left/>
      <right style="thin">
        <color rgb="FF696969"/>
      </right>
      <top style="thin">
        <color rgb="FF696969"/>
      </top>
      <bottom/>
      <diagonal/>
    </border>
    <border>
      <left style="thin">
        <color rgb="FF696969"/>
      </left>
      <right/>
      <top style="thin">
        <color rgb="FF696969"/>
      </top>
      <bottom/>
      <diagonal/>
    </border>
    <border>
      <left/>
      <right/>
      <top style="thin">
        <color rgb="FF696969"/>
      </top>
      <bottom/>
      <diagonal/>
    </border>
  </borders>
  <cellStyleXfs count="42">
    <xf numFmtId="0" fontId="0" fillId="0" borderId="0"/>
    <xf numFmtId="0" fontId="7" fillId="0" borderId="0" applyNumberFormat="0" applyFill="0" applyBorder="0" applyAlignment="0" applyProtection="0"/>
    <xf numFmtId="0" fontId="8" fillId="0" borderId="6" applyNumberFormat="0" applyFill="0" applyAlignment="0" applyProtection="0"/>
    <xf numFmtId="0" fontId="9" fillId="0" borderId="7" applyNumberFormat="0" applyFill="0" applyAlignment="0" applyProtection="0"/>
    <xf numFmtId="0" fontId="10" fillId="0" borderId="8" applyNumberFormat="0" applyFill="0" applyAlignment="0" applyProtection="0"/>
    <xf numFmtId="0" fontId="10" fillId="0" borderId="0" applyNumberFormat="0" applyFill="0" applyBorder="0" applyAlignment="0" applyProtection="0"/>
    <xf numFmtId="0" fontId="11" fillId="8" borderId="0" applyNumberFormat="0" applyBorder="0" applyAlignment="0" applyProtection="0"/>
    <xf numFmtId="0" fontId="12" fillId="9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9" applyNumberFormat="0" applyAlignment="0" applyProtection="0"/>
    <xf numFmtId="0" fontId="15" fillId="12" borderId="10" applyNumberFormat="0" applyAlignment="0" applyProtection="0"/>
    <xf numFmtId="0" fontId="16" fillId="12" borderId="9" applyNumberFormat="0" applyAlignment="0" applyProtection="0"/>
    <xf numFmtId="0" fontId="17" fillId="0" borderId="11" applyNumberFormat="0" applyFill="0" applyAlignment="0" applyProtection="0"/>
    <xf numFmtId="0" fontId="18" fillId="13" borderId="12" applyNumberFormat="0" applyAlignment="0" applyProtection="0"/>
    <xf numFmtId="0" fontId="19" fillId="0" borderId="0" applyNumberFormat="0" applyFill="0" applyBorder="0" applyAlignment="0" applyProtection="0"/>
    <xf numFmtId="0" fontId="6" fillId="14" borderId="13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14" applyNumberFormat="0" applyFill="0" applyAlignment="0" applyProtection="0"/>
    <xf numFmtId="0" fontId="22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22" fillId="18" borderId="0" applyNumberFormat="0" applyBorder="0" applyAlignment="0" applyProtection="0"/>
    <xf numFmtId="0" fontId="22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22" fillId="22" borderId="0" applyNumberFormat="0" applyBorder="0" applyAlignment="0" applyProtection="0"/>
    <xf numFmtId="0" fontId="22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22" fillId="26" borderId="0" applyNumberFormat="0" applyBorder="0" applyAlignment="0" applyProtection="0"/>
    <xf numFmtId="0" fontId="22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22" fillId="30" borderId="0" applyNumberFormat="0" applyBorder="0" applyAlignment="0" applyProtection="0"/>
    <xf numFmtId="0" fontId="22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22" fillId="34" borderId="0" applyNumberFormat="0" applyBorder="0" applyAlignment="0" applyProtection="0"/>
    <xf numFmtId="0" fontId="22" fillId="35" borderId="0" applyNumberFormat="0" applyBorder="0" applyAlignment="0" applyProtection="0"/>
    <xf numFmtId="0" fontId="6" fillId="36" borderId="0" applyNumberFormat="0" applyBorder="0" applyAlignment="0" applyProtection="0"/>
    <xf numFmtId="0" fontId="6" fillId="37" borderId="0" applyNumberFormat="0" applyBorder="0" applyAlignment="0" applyProtection="0"/>
    <xf numFmtId="0" fontId="22" fillId="38" borderId="0" applyNumberFormat="0" applyBorder="0" applyAlignment="0" applyProtection="0"/>
  </cellStyleXfs>
  <cellXfs count="54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/>
    <xf numFmtId="0" fontId="1" fillId="4" borderId="1" xfId="0" applyFont="1" applyFill="1" applyBorder="1"/>
    <xf numFmtId="0" fontId="1" fillId="5" borderId="1" xfId="0" applyFont="1" applyFill="1" applyBorder="1"/>
    <xf numFmtId="0" fontId="0" fillId="0" borderId="1" xfId="0" applyBorder="1"/>
    <xf numFmtId="0" fontId="3" fillId="2" borderId="1" xfId="0" applyFont="1" applyFill="1" applyBorder="1"/>
    <xf numFmtId="0" fontId="1" fillId="6" borderId="1" xfId="0" applyFont="1" applyFill="1" applyBorder="1"/>
    <xf numFmtId="0" fontId="4" fillId="7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/>
    </xf>
    <xf numFmtId="0" fontId="0" fillId="0" borderId="0" xfId="0" applyBorder="1"/>
    <xf numFmtId="0" fontId="0" fillId="0" borderId="0" xfId="0"/>
    <xf numFmtId="2" fontId="1" fillId="2" borderId="1" xfId="0" applyNumberFormat="1" applyFont="1" applyFill="1" applyBorder="1"/>
    <xf numFmtId="0" fontId="2" fillId="2" borderId="1" xfId="0" applyFont="1" applyFill="1" applyBorder="1"/>
    <xf numFmtId="0" fontId="3" fillId="6" borderId="1" xfId="0" applyFont="1" applyFill="1" applyBorder="1"/>
    <xf numFmtId="0" fontId="4" fillId="7" borderId="1" xfId="0" applyFont="1" applyFill="1" applyBorder="1" applyAlignment="1">
      <alignment horizontal="center"/>
    </xf>
    <xf numFmtId="0" fontId="1" fillId="2" borderId="1" xfId="0" applyFont="1" applyFill="1" applyBorder="1" applyAlignment="1"/>
    <xf numFmtId="0" fontId="1" fillId="2" borderId="1" xfId="0" applyFont="1" applyFill="1" applyBorder="1" applyAlignment="1">
      <alignment wrapText="1"/>
    </xf>
    <xf numFmtId="164" fontId="1" fillId="2" borderId="1" xfId="0" applyNumberFormat="1" applyFont="1" applyFill="1" applyBorder="1"/>
    <xf numFmtId="0" fontId="1" fillId="40" borderId="1" xfId="0" applyFont="1" applyFill="1" applyBorder="1"/>
    <xf numFmtId="0" fontId="1" fillId="41" borderId="1" xfId="0" applyFont="1" applyFill="1" applyBorder="1"/>
    <xf numFmtId="0" fontId="5" fillId="7" borderId="1" xfId="0" applyFont="1" applyFill="1" applyBorder="1" applyAlignment="1" applyProtection="1">
      <alignment horizontal="center" vertical="center"/>
      <protection locked="0"/>
    </xf>
    <xf numFmtId="20" fontId="1" fillId="2" borderId="1" xfId="0" applyNumberFormat="1" applyFont="1" applyFill="1" applyBorder="1"/>
    <xf numFmtId="0" fontId="3" fillId="2" borderId="1" xfId="0" applyFont="1" applyFill="1" applyBorder="1" applyAlignment="1"/>
    <xf numFmtId="0" fontId="1" fillId="6" borderId="1" xfId="0" applyFont="1" applyFill="1" applyBorder="1" applyProtection="1">
      <protection locked="0"/>
    </xf>
    <xf numFmtId="0" fontId="4" fillId="7" borderId="1" xfId="0" applyFont="1" applyFill="1" applyBorder="1" applyAlignment="1" applyProtection="1">
      <alignment horizontal="left" vertical="center"/>
      <protection locked="0"/>
    </xf>
    <xf numFmtId="0" fontId="1" fillId="42" borderId="1" xfId="0" applyFont="1" applyFill="1" applyBorder="1"/>
    <xf numFmtId="0" fontId="1" fillId="43" borderId="1" xfId="0" applyFont="1" applyFill="1" applyBorder="1"/>
    <xf numFmtId="0" fontId="5" fillId="0" borderId="1" xfId="0" applyFont="1" applyBorder="1" applyProtection="1">
      <protection locked="0"/>
    </xf>
    <xf numFmtId="0" fontId="5" fillId="7" borderId="1" xfId="0" applyFont="1" applyFill="1" applyBorder="1" applyAlignment="1" applyProtection="1">
      <alignment horizontal="center" vertical="center"/>
    </xf>
    <xf numFmtId="0" fontId="3" fillId="2" borderId="1" xfId="0" applyFont="1" applyFill="1" applyBorder="1" applyAlignment="1" applyProtection="1">
      <alignment horizontal="right"/>
    </xf>
    <xf numFmtId="0" fontId="1" fillId="2" borderId="1" xfId="0" applyFont="1" applyFill="1" applyBorder="1" applyProtection="1"/>
    <xf numFmtId="0" fontId="1" fillId="2" borderId="1" xfId="0" quotePrefix="1" applyFont="1" applyFill="1" applyBorder="1" applyAlignment="1" applyProtection="1">
      <alignment wrapText="1"/>
    </xf>
    <xf numFmtId="0" fontId="1" fillId="2" borderId="5" xfId="0" applyFont="1" applyFill="1" applyBorder="1" applyProtection="1"/>
    <xf numFmtId="0" fontId="1" fillId="2" borderId="2" xfId="0" applyFont="1" applyFill="1" applyBorder="1" applyProtection="1"/>
    <xf numFmtId="0" fontId="24" fillId="2" borderId="21" xfId="0" applyFont="1" applyFill="1" applyBorder="1" applyAlignment="1">
      <alignment horizontal="center" vertical="center" wrapText="1"/>
    </xf>
    <xf numFmtId="0" fontId="24" fillId="2" borderId="22" xfId="0" applyFont="1" applyFill="1" applyBorder="1" applyAlignment="1">
      <alignment horizontal="center" vertical="center" wrapText="1"/>
    </xf>
    <xf numFmtId="0" fontId="24" fillId="2" borderId="20" xfId="0" applyFont="1" applyFill="1" applyBorder="1" applyAlignment="1">
      <alignment horizontal="center" vertical="center" wrapText="1"/>
    </xf>
    <xf numFmtId="0" fontId="24" fillId="2" borderId="15" xfId="0" applyFont="1" applyFill="1" applyBorder="1" applyAlignment="1">
      <alignment horizontal="center" vertical="center" wrapText="1"/>
    </xf>
    <xf numFmtId="0" fontId="24" fillId="2" borderId="0" xfId="0" applyFont="1" applyFill="1" applyBorder="1" applyAlignment="1">
      <alignment horizontal="center" vertical="center" wrapText="1"/>
    </xf>
    <xf numFmtId="0" fontId="24" fillId="2" borderId="16" xfId="0" applyFont="1" applyFill="1" applyBorder="1" applyAlignment="1">
      <alignment horizontal="center" vertical="center" wrapText="1"/>
    </xf>
    <xf numFmtId="0" fontId="24" fillId="2" borderId="17" xfId="0" applyFont="1" applyFill="1" applyBorder="1" applyAlignment="1">
      <alignment horizontal="center" vertical="center" wrapText="1"/>
    </xf>
    <xf numFmtId="0" fontId="24" fillId="2" borderId="18" xfId="0" applyFont="1" applyFill="1" applyBorder="1" applyAlignment="1">
      <alignment horizontal="center" vertical="center" wrapText="1"/>
    </xf>
    <xf numFmtId="0" fontId="24" fillId="2" borderId="19" xfId="0" applyFont="1" applyFill="1" applyBorder="1" applyAlignment="1">
      <alignment horizontal="center" vertical="center" wrapText="1"/>
    </xf>
    <xf numFmtId="0" fontId="3" fillId="2" borderId="21" xfId="0" applyFont="1" applyFill="1" applyBorder="1" applyAlignment="1">
      <alignment horizontal="center" vertical="top" wrapText="1"/>
    </xf>
    <xf numFmtId="0" fontId="3" fillId="2" borderId="22" xfId="0" applyFont="1" applyFill="1" applyBorder="1" applyAlignment="1">
      <alignment horizontal="center" vertical="top" wrapText="1"/>
    </xf>
    <xf numFmtId="0" fontId="3" fillId="2" borderId="20" xfId="0" applyFont="1" applyFill="1" applyBorder="1" applyAlignment="1">
      <alignment horizontal="center" vertical="top" wrapText="1"/>
    </xf>
    <xf numFmtId="0" fontId="3" fillId="2" borderId="15" xfId="0" applyFont="1" applyFill="1" applyBorder="1" applyAlignment="1">
      <alignment horizontal="center" vertical="top" wrapText="1"/>
    </xf>
    <xf numFmtId="0" fontId="3" fillId="2" borderId="0" xfId="0" applyFont="1" applyFill="1" applyBorder="1" applyAlignment="1">
      <alignment horizontal="center" vertical="top" wrapText="1"/>
    </xf>
    <xf numFmtId="0" fontId="3" fillId="2" borderId="16" xfId="0" applyFont="1" applyFill="1" applyBorder="1" applyAlignment="1">
      <alignment horizontal="center" vertical="top" wrapText="1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1">
    <dxf>
      <font>
        <color theme="1"/>
      </font>
      <fill>
        <patternFill>
          <bgColor theme="1" tint="0.34998626667073579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b/>
        <i val="0"/>
        <color rgb="FF543E00"/>
      </font>
      <fill>
        <patternFill>
          <bgColor rgb="FFE1CCF0"/>
        </patternFill>
      </fill>
    </dxf>
    <dxf>
      <font>
        <b/>
        <i val="0"/>
      </font>
      <fill>
        <patternFill>
          <bgColor rgb="FFC00000"/>
        </patternFill>
      </fill>
    </dxf>
    <dxf>
      <font>
        <b/>
        <i val="0"/>
        <color rgb="FF7030A0"/>
      </font>
      <fill>
        <patternFill>
          <bgColor rgb="FFC6E0B4"/>
        </patternFill>
      </fill>
    </dxf>
    <dxf>
      <font>
        <b/>
        <i val="0"/>
        <color rgb="FF3D1C05"/>
      </font>
      <fill>
        <patternFill>
          <bgColor theme="5"/>
        </patternFill>
      </fill>
    </dxf>
    <dxf>
      <font>
        <b/>
        <i val="0"/>
        <color rgb="FF221900"/>
      </font>
      <fill>
        <patternFill>
          <bgColor theme="7" tint="-0.24994659260841701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border diagonalUp="0" diagonalDown="0" outline="0">
        <left style="thin">
          <color rgb="FF696969"/>
        </left>
        <right style="thin">
          <color rgb="FF696969"/>
        </right>
        <top style="thin">
          <color rgb="FF696969"/>
        </top>
        <bottom style="thin">
          <color rgb="FF696969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border diagonalUp="0" diagonalDown="0" outline="0">
        <left style="thin">
          <color rgb="FF696969"/>
        </left>
        <right style="thin">
          <color rgb="FF696969"/>
        </right>
        <top style="thin">
          <color rgb="FF696969"/>
        </top>
        <bottom style="thin">
          <color rgb="FF696969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border diagonalUp="0" diagonalDown="0" outline="0">
        <left style="thin">
          <color rgb="FF696969"/>
        </left>
        <right style="thin">
          <color rgb="FF696969"/>
        </right>
        <top style="thin">
          <color rgb="FF696969"/>
        </top>
        <bottom style="thin">
          <color rgb="FF696969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border diagonalUp="0" diagonalDown="0" outline="0">
        <left style="thin">
          <color rgb="FF696969"/>
        </left>
        <right style="thin">
          <color rgb="FF696969"/>
        </right>
        <top style="thin">
          <color rgb="FF696969"/>
        </top>
        <bottom style="thin">
          <color rgb="FF696969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border diagonalUp="0" diagonalDown="0" outline="0">
        <left style="thin">
          <color rgb="FF696969"/>
        </left>
        <right style="thin">
          <color rgb="FF696969"/>
        </right>
        <top style="thin">
          <color rgb="FF696969"/>
        </top>
        <bottom style="thin">
          <color rgb="FF696969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border diagonalUp="0" diagonalDown="0" outline="0">
        <left/>
        <right style="thin">
          <color rgb="FF696969"/>
        </right>
        <top style="thin">
          <color rgb="FF696969"/>
        </top>
        <bottom style="thin">
          <color rgb="FF696969"/>
        </bottom>
      </border>
      <protection locked="0" hidden="0"/>
    </dxf>
    <dxf>
      <border diagonalUp="0" diagonalDown="0">
        <left style="thin">
          <color rgb="FF696969"/>
        </left>
        <right style="thin">
          <color rgb="FF696969"/>
        </right>
        <top/>
        <bottom style="thin">
          <color rgb="FF696969"/>
        </bottom>
      </border>
    </dxf>
    <dxf>
      <font>
        <b/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protection locked="0" hidden="0"/>
    </dxf>
    <dxf>
      <border>
        <bottom style="thin">
          <color rgb="FF696969"/>
        </bottom>
      </border>
    </dxf>
    <dxf>
      <font>
        <strike val="0"/>
        <outline val="0"/>
        <shadow val="0"/>
        <u val="none"/>
        <vertAlign val="baseline"/>
        <sz val="11"/>
        <color theme="5" tint="0.59999389629810485"/>
        <name val="Calibri"/>
        <scheme val="minor"/>
      </font>
      <fill>
        <patternFill patternType="solid">
          <fgColor indexed="64"/>
          <bgColor theme="3" tint="-0.499984740745262"/>
        </patternFill>
      </fill>
      <border diagonalUp="0" diagonalDown="0">
        <left style="thin">
          <color rgb="FF696969"/>
        </left>
        <right style="thin">
          <color rgb="FF696969"/>
        </right>
        <top/>
        <bottom/>
        <vertical style="thin">
          <color rgb="FF696969"/>
        </vertical>
        <horizontal style="thin">
          <color rgb="FF696969"/>
        </horizontal>
      </border>
      <protection locked="0" hidden="0"/>
    </dxf>
  </dxfs>
  <tableStyles count="0" defaultTableStyle="TableStyleMedium2" defaultPivotStyle="PivotStyleLight16"/>
  <colors>
    <mruColors>
      <color rgb="FF221900"/>
      <color rgb="FF543E00"/>
      <color rgb="FF322500"/>
      <color rgb="FF3D1C05"/>
      <color rgb="FF423100"/>
      <color rgb="FF5C2A08"/>
      <color rgb="FF696969"/>
      <color rgb="FF644A00"/>
      <color rgb="FFC6E0B4"/>
      <color rgb="FFE1CCF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9525</xdr:colOff>
          <xdr:row>0</xdr:row>
          <xdr:rowOff>0</xdr:rowOff>
        </xdr:from>
        <xdr:to>
          <xdr:col>37</xdr:col>
          <xdr:colOff>0</xdr:colOff>
          <xdr:row>1</xdr:row>
          <xdr:rowOff>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e3" displayName="Table3" ref="AN1:AS100" totalsRowShown="0" headerRowDxfId="20" dataDxfId="18" headerRowBorderDxfId="19" tableBorderDxfId="17">
  <autoFilter ref="AN1:AS100"/>
  <sortState ref="AN2:AS100">
    <sortCondition ref="AN1:AN100"/>
  </sortState>
  <tableColumns count="6">
    <tableColumn id="1" name="Consumables For Each Raid" dataDxfId="16"/>
    <tableColumn id="7" name="ONY" dataDxfId="15"/>
    <tableColumn id="6" name="MC" dataDxfId="14"/>
    <tableColumn id="2" name="BWL" dataDxfId="13"/>
    <tableColumn id="3" name="AQ40" dataDxfId="12"/>
    <tableColumn id="4" name="NAXX" dataDxfId="11"/>
  </tableColumns>
  <tableStyleInfo name="TableStyleDark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autoPageBreaks="0"/>
  </sheetPr>
  <dimension ref="A1:AS125"/>
  <sheetViews>
    <sheetView tabSelected="1" zoomScaleNormal="100" workbookViewId="0">
      <pane ySplit="1" topLeftCell="A2" activePane="bottomLeft" state="frozen"/>
      <selection pane="bottomLeft" activeCell="AI2" sqref="AI2"/>
    </sheetView>
  </sheetViews>
  <sheetFormatPr defaultRowHeight="15" x14ac:dyDescent="0.25"/>
  <cols>
    <col min="1" max="1" width="31.85546875" style="1" bestFit="1" customWidth="1"/>
    <col min="2" max="3" width="5.85546875" style="1" customWidth="1"/>
    <col min="4" max="4" width="6.5703125" style="1" bestFit="1" customWidth="1"/>
    <col min="5" max="5" width="5.85546875" style="1" hidden="1" customWidth="1"/>
    <col min="6" max="6" width="20.42578125" style="1" hidden="1" customWidth="1"/>
    <col min="7" max="7" width="4.28515625" style="1" hidden="1" customWidth="1"/>
    <col min="8" max="8" width="22" style="1" hidden="1" customWidth="1"/>
    <col min="9" max="9" width="4.28515625" style="1" hidden="1" customWidth="1"/>
    <col min="10" max="10" width="16.42578125" style="1" hidden="1" customWidth="1"/>
    <col min="11" max="11" width="4.28515625" style="1" hidden="1" customWidth="1"/>
    <col min="12" max="12" width="20.85546875" style="1" hidden="1" customWidth="1"/>
    <col min="13" max="13" width="4.28515625" style="1" hidden="1" customWidth="1"/>
    <col min="14" max="14" width="2.85546875" style="1" hidden="1" customWidth="1"/>
    <col min="15" max="15" width="21.7109375" style="1" hidden="1" customWidth="1"/>
    <col min="16" max="16" width="5.85546875" style="1" hidden="1" customWidth="1"/>
    <col min="17" max="17" width="22" style="1" hidden="1" customWidth="1"/>
    <col min="18" max="18" width="5.85546875" style="1" hidden="1" customWidth="1"/>
    <col min="19" max="19" width="16.42578125" style="1" hidden="1" customWidth="1"/>
    <col min="20" max="20" width="5.85546875" style="1" hidden="1" customWidth="1"/>
    <col min="21" max="21" width="20.28515625" style="1" hidden="1" customWidth="1"/>
    <col min="22" max="22" width="5.85546875" style="1" hidden="1" customWidth="1"/>
    <col min="23" max="23" width="3.140625" style="1" customWidth="1"/>
    <col min="24" max="24" width="22.85546875" style="1" customWidth="1"/>
    <col min="25" max="26" width="5.85546875" style="1" customWidth="1"/>
    <col min="27" max="27" width="6.5703125" style="1" customWidth="1"/>
    <col min="28" max="28" width="3.140625" style="1" customWidth="1"/>
    <col min="29" max="29" width="28.5703125" style="1" bestFit="1" customWidth="1"/>
    <col min="30" max="30" width="5.85546875" style="1" customWidth="1"/>
    <col min="31" max="31" width="5.85546875" style="1" bestFit="1" customWidth="1"/>
    <col min="32" max="32" width="6.5703125" style="1" bestFit="1" customWidth="1"/>
    <col min="33" max="33" width="3.28515625" style="1" hidden="1" customWidth="1"/>
    <col min="34" max="34" width="3.140625" style="1" customWidth="1"/>
    <col min="35" max="35" width="6" style="1" bestFit="1" customWidth="1"/>
    <col min="36" max="36" width="3.140625" style="1" customWidth="1"/>
    <col min="37" max="37" width="8.42578125" style="1" bestFit="1" customWidth="1"/>
    <col min="38" max="38" width="19.42578125" style="1" customWidth="1"/>
    <col min="39" max="39" width="3.140625" style="1" customWidth="1"/>
    <col min="40" max="40" width="31.85546875" style="1" bestFit="1" customWidth="1"/>
    <col min="41" max="41" width="7.28515625" style="1" bestFit="1" customWidth="1"/>
    <col min="42" max="42" width="6.28515625" style="1" bestFit="1" customWidth="1"/>
    <col min="43" max="43" width="7.28515625" style="1" bestFit="1" customWidth="1"/>
    <col min="44" max="44" width="8" style="1" bestFit="1" customWidth="1"/>
    <col min="45" max="45" width="8.28515625" style="1" bestFit="1" customWidth="1"/>
    <col min="46" max="46" width="4.42578125" style="1" bestFit="1" customWidth="1"/>
    <col min="47" max="16384" width="9.140625" style="1"/>
  </cols>
  <sheetData>
    <row r="1" spans="1:45" x14ac:dyDescent="0.25">
      <c r="A1" s="9" t="s">
        <v>7</v>
      </c>
      <c r="B1" s="9" t="s">
        <v>41</v>
      </c>
      <c r="C1" s="9"/>
      <c r="D1" s="9" t="s">
        <v>34</v>
      </c>
      <c r="E1" s="9" t="s">
        <v>33</v>
      </c>
      <c r="F1" s="9" t="s">
        <v>72</v>
      </c>
      <c r="G1" s="9" t="s">
        <v>73</v>
      </c>
      <c r="H1" s="9" t="s">
        <v>72</v>
      </c>
      <c r="I1" s="9" t="s">
        <v>73</v>
      </c>
      <c r="J1" s="9" t="s">
        <v>72</v>
      </c>
      <c r="K1" s="9" t="s">
        <v>73</v>
      </c>
      <c r="L1" s="9" t="s">
        <v>72</v>
      </c>
      <c r="M1" s="9" t="s">
        <v>73</v>
      </c>
      <c r="N1" s="9"/>
      <c r="O1" s="9" t="s">
        <v>35</v>
      </c>
      <c r="P1" s="9" t="s">
        <v>33</v>
      </c>
      <c r="Q1" s="9" t="s">
        <v>72</v>
      </c>
      <c r="R1" s="9" t="s">
        <v>33</v>
      </c>
      <c r="S1" s="9" t="s">
        <v>72</v>
      </c>
      <c r="T1" s="9" t="s">
        <v>33</v>
      </c>
      <c r="U1" s="9" t="s">
        <v>72</v>
      </c>
      <c r="V1" s="9" t="s">
        <v>33</v>
      </c>
      <c r="W1" s="9"/>
      <c r="X1" s="9" t="s">
        <v>72</v>
      </c>
      <c r="Y1" s="9" t="s">
        <v>41</v>
      </c>
      <c r="Z1" s="9"/>
      <c r="AA1" s="9" t="s">
        <v>34</v>
      </c>
      <c r="AB1" s="9"/>
      <c r="AC1" s="9" t="s">
        <v>74</v>
      </c>
      <c r="AD1" s="9" t="s">
        <v>41</v>
      </c>
      <c r="AE1" s="9"/>
      <c r="AF1" s="9" t="s">
        <v>34</v>
      </c>
      <c r="AG1" s="9"/>
      <c r="AH1" s="9"/>
      <c r="AI1" s="16" t="s">
        <v>323</v>
      </c>
      <c r="AJ1" s="16"/>
      <c r="AK1" s="16"/>
      <c r="AL1" s="16" t="s">
        <v>335</v>
      </c>
      <c r="AM1" s="16"/>
      <c r="AN1" s="26" t="s">
        <v>439</v>
      </c>
      <c r="AO1" s="26" t="s">
        <v>434</v>
      </c>
      <c r="AP1" s="26" t="s">
        <v>435</v>
      </c>
      <c r="AQ1" s="26" t="s">
        <v>321</v>
      </c>
      <c r="AR1" s="26" t="s">
        <v>320</v>
      </c>
      <c r="AS1" s="26" t="s">
        <v>322</v>
      </c>
    </row>
    <row r="2" spans="1:45" x14ac:dyDescent="0.25">
      <c r="A2" s="1" t="s">
        <v>81</v>
      </c>
      <c r="B2" s="10">
        <f>IF(ISNA(VLOOKUP(A2,Scratch!$B$1:$C$3000,2,FALSE)),0,VLOOKUP(A2,Scratch!$B$1:$C$3000,2,FALSE))</f>
        <v>20</v>
      </c>
      <c r="C2" s="2">
        <f t="shared" ref="C2:C41" si="0">B2-D2</f>
        <v>10</v>
      </c>
      <c r="D2" s="11">
        <f>(IF($AI$2="ONY",VLOOKUP($A2,Consumables!$AN$2:$AS$100,2,FALSE),
IF($AI$2="MC",VLOOKUP($A2,Consumables!$AN$2:$AS$100,3,FALSE),
IF($AI$2="BWL",VLOOKUP($A2,Consumables!$AN$2:$AS$100,4,FALSE),
IF($AI$2="AQ40",VLOOKUP($A2,Consumables!$AN$2:$AS$100,5,FALSE),
IF($AI$2="NAXX",VLOOKUP($A2,Consumables!$AN$2:$AS$100,6,FALSE),
IF($AI$2="X",0))))))+
(IF($AI$3="ONY",VLOOKUP($A2,Consumables!$AN$2:$AS$100,2,FALSE),
IF($AI$3="MC",VLOOKUP($A2,Consumables!$AN$2:$AS$100,3,FALSE),
IF($AI$3="BWL",VLOOKUP($A2,Consumables!$AN$2:$AS$100,4,FALSE),
IF($AI$3="AQ40",VLOOKUP($A2,Consumables!$AN$2:$AS$100,5,FALSE),
IF($AI$3="NAXX",VLOOKUP($A2,Consumables!$AN$2:$AS$100,6,FALSE),
IF($AI$3="X",0)))))))+
(IF($AI$4="ONY",VLOOKUP($A2,Consumables!$AN$2:$AS$100,2,FALSE),
IF($AI$4="MC",VLOOKUP($A2,Consumables!$AN$2:$AS$100,3,FALSE),
IF($AI$4="BWL",VLOOKUP($A2,Consumables!$AN$2:$AS$100,4,FALSE),
IF($AI$4="AQ40",VLOOKUP($A2,Consumables!$AN$2:$AS$100,5,FALSE),
IF($AI$4="NAXX",VLOOKUP($A2,Consumables!$AN$2:$AS$100,6,FALSE),
IF($AI$4="X",0,0))))))))</f>
        <v>10</v>
      </c>
      <c r="E2" s="3">
        <f t="shared" ref="E2:E20" si="1">IF(D2-B2&lt;0,0,D2-B2)</f>
        <v>0</v>
      </c>
      <c r="F2" s="1" t="s">
        <v>359</v>
      </c>
      <c r="G2" s="3">
        <v>2</v>
      </c>
      <c r="H2" s="1" t="s">
        <v>17</v>
      </c>
      <c r="I2" s="3">
        <v>3</v>
      </c>
      <c r="J2" s="1" t="s">
        <v>18</v>
      </c>
      <c r="K2" s="3">
        <v>1</v>
      </c>
      <c r="M2" s="3"/>
      <c r="O2" s="1" t="s">
        <v>359</v>
      </c>
      <c r="P2" s="3">
        <f t="shared" ref="P2:P41" si="2">E2*G2</f>
        <v>0</v>
      </c>
      <c r="Q2" s="1" t="s">
        <v>17</v>
      </c>
      <c r="R2" s="3">
        <f t="shared" ref="R2:R28" si="3">E2*I2</f>
        <v>0</v>
      </c>
      <c r="S2" s="1" t="s">
        <v>18</v>
      </c>
      <c r="T2" s="3">
        <f t="shared" ref="T2:T33" si="4">E2*K2</f>
        <v>0</v>
      </c>
      <c r="W2" s="18"/>
      <c r="X2" s="1" t="s">
        <v>209</v>
      </c>
      <c r="Y2" s="10">
        <f>IF(ISNA(VLOOKUP(X2,Scratch!$B$1:$C$3000,2,FALSE)),0,VLOOKUP(X2,Scratch!$B$1:$C$3000,2,FALSE))</f>
        <v>11</v>
      </c>
      <c r="Z2" s="3">
        <f t="shared" ref="Z2:Z33" si="5">Y2-AA2</f>
        <v>11</v>
      </c>
      <c r="AA2" s="11">
        <f>P21</f>
        <v>0</v>
      </c>
      <c r="AB2" s="18"/>
      <c r="AC2" s="18" t="s">
        <v>47</v>
      </c>
      <c r="AD2" s="17">
        <f>IF(ISNA(VLOOKUP(AC2,Scratch!$B$1:$C$3000,2,FALSE)),0,VLOOKUP(AC2,Scratch!$B$1:$C$3000,2,FALSE))</f>
        <v>7</v>
      </c>
      <c r="AE2" s="3">
        <f t="shared" ref="AE2:AE9" si="6">AD2-AF2</f>
        <v>7</v>
      </c>
      <c r="AF2" s="11">
        <f>P28</f>
        <v>0</v>
      </c>
      <c r="AI2" s="23" t="s">
        <v>320</v>
      </c>
      <c r="AK2" s="31" t="s">
        <v>438</v>
      </c>
      <c r="AL2" s="27" t="s">
        <v>334</v>
      </c>
      <c r="AM2" s="1" t="s">
        <v>353</v>
      </c>
      <c r="AN2" s="30" t="s">
        <v>447</v>
      </c>
      <c r="AO2" s="30">
        <v>0</v>
      </c>
      <c r="AP2" s="30">
        <v>1</v>
      </c>
      <c r="AQ2" s="30">
        <v>0</v>
      </c>
      <c r="AR2" s="30">
        <v>0</v>
      </c>
      <c r="AS2" s="30">
        <v>0</v>
      </c>
    </row>
    <row r="3" spans="1:45" x14ac:dyDescent="0.25">
      <c r="A3" s="1" t="s">
        <v>237</v>
      </c>
      <c r="B3" s="17">
        <f>IF(ISNA(VLOOKUP(A3,Scratch!$B$1:$C$3000,2,FALSE)),0,VLOOKUP(A3,Scratch!$B$1:$C$3000,2,FALSE))</f>
        <v>2</v>
      </c>
      <c r="C3" s="3">
        <f t="shared" si="0"/>
        <v>0</v>
      </c>
      <c r="D3" s="11">
        <f>(IF($AI$2="ONY",VLOOKUP($A3,Consumables!$AN$2:$AS$100,2,FALSE),
IF($AI$2="MC",VLOOKUP($A3,Consumables!$AN$2:$AS$100,3,FALSE),
IF($AI$2="BWL",VLOOKUP($A3,Consumables!$AN$2:$AS$100,4,FALSE),
IF($AI$2="AQ40",VLOOKUP($A3,Consumables!$AN$2:$AS$100,5,FALSE),
IF($AI$2="NAXX",VLOOKUP($A3,Consumables!$AN$2:$AS$100,6,FALSE),
IF($AI$2="X",0))))))+
(IF($AI$3="ONY",VLOOKUP($A3,Consumables!$AN$2:$AS$100,2,FALSE),
IF($AI$3="MC",VLOOKUP($A3,Consumables!$AN$2:$AS$100,3,FALSE),
IF($AI$3="BWL",VLOOKUP($A3,Consumables!$AN$2:$AS$100,4,FALSE),
IF($AI$3="AQ40",VLOOKUP($A3,Consumables!$AN$2:$AS$100,5,FALSE),
IF($AI$3="NAXX",VLOOKUP($A3,Consumables!$AN$2:$AS$100,6,FALSE),
IF($AI$3="X",0)))))))+
(IF($AI$4="ONY",VLOOKUP($A3,Consumables!$AN$2:$AS$100,2,FALSE),
IF($AI$4="MC",VLOOKUP($A3,Consumables!$AN$2:$AS$100,3,FALSE),
IF($AI$4="BWL",VLOOKUP($A3,Consumables!$AN$2:$AS$100,4,FALSE),
IF($AI$4="AQ40",VLOOKUP($A3,Consumables!$AN$2:$AS$100,5,FALSE),
IF($AI$4="NAXX",VLOOKUP($A3,Consumables!$AN$2:$AS$100,6,FALSE),
IF($AI$4="X",0,0))))))))</f>
        <v>2</v>
      </c>
      <c r="E3" s="3">
        <f t="shared" si="1"/>
        <v>0</v>
      </c>
      <c r="F3" s="18" t="s">
        <v>19</v>
      </c>
      <c r="G3" s="3">
        <v>1</v>
      </c>
      <c r="H3" s="18" t="s">
        <v>17</v>
      </c>
      <c r="I3" s="3">
        <v>1</v>
      </c>
      <c r="J3" s="18" t="s">
        <v>18</v>
      </c>
      <c r="K3" s="3">
        <v>1</v>
      </c>
      <c r="L3" s="3"/>
      <c r="M3" s="3"/>
      <c r="N3" s="18"/>
      <c r="O3" s="18" t="s">
        <v>19</v>
      </c>
      <c r="P3" s="3">
        <f t="shared" si="2"/>
        <v>0</v>
      </c>
      <c r="Q3" s="18" t="s">
        <v>17</v>
      </c>
      <c r="R3" s="3">
        <f t="shared" si="3"/>
        <v>0</v>
      </c>
      <c r="S3" s="18" t="s">
        <v>18</v>
      </c>
      <c r="T3" s="3">
        <f t="shared" si="4"/>
        <v>0</v>
      </c>
      <c r="U3" s="18"/>
      <c r="V3" s="3"/>
      <c r="X3" s="1" t="s">
        <v>412</v>
      </c>
      <c r="Y3" s="10">
        <f>G102</f>
        <v>5</v>
      </c>
      <c r="Z3" s="3">
        <f t="shared" si="5"/>
        <v>5</v>
      </c>
      <c r="AA3" s="11">
        <f>AG34</f>
        <v>0</v>
      </c>
      <c r="AC3" s="1" t="s">
        <v>450</v>
      </c>
      <c r="AD3" s="17">
        <f>IF(ISNA(VLOOKUP(AC3,Scratch!$B$1:$C$3000,2,FALSE)),0,VLOOKUP(AC3,Scratch!$B$1:$C$3000,2,FALSE))</f>
        <v>0</v>
      </c>
      <c r="AE3" s="3">
        <f t="shared" si="6"/>
        <v>0</v>
      </c>
      <c r="AF3" s="11">
        <f>P124</f>
        <v>0</v>
      </c>
      <c r="AI3" s="23" t="s">
        <v>345</v>
      </c>
      <c r="AN3" s="30" t="s">
        <v>245</v>
      </c>
      <c r="AO3" s="30">
        <v>0</v>
      </c>
      <c r="AP3" s="30">
        <v>0</v>
      </c>
      <c r="AQ3" s="30">
        <v>0</v>
      </c>
      <c r="AR3" s="30">
        <v>0</v>
      </c>
      <c r="AS3" s="30">
        <v>0</v>
      </c>
    </row>
    <row r="4" spans="1:45" x14ac:dyDescent="0.25">
      <c r="A4" s="1" t="s">
        <v>255</v>
      </c>
      <c r="B4" s="10">
        <f>IF(ISNA(VLOOKUP(A4,Scratch!$B$1:$C$3000,2,FALSE)),0,VLOOKUP(A4,Scratch!$B$1:$C$3000,2,FALSE))</f>
        <v>20</v>
      </c>
      <c r="C4" s="2">
        <f t="shared" si="0"/>
        <v>18</v>
      </c>
      <c r="D4" s="11">
        <f>(IF($AI$2="ONY",VLOOKUP($A4,Consumables!$AN$2:$AS$100,2,FALSE),
IF($AI$2="MC",VLOOKUP($A4,Consumables!$AN$2:$AS$100,3,FALSE),
IF($AI$2="BWL",VLOOKUP($A4,Consumables!$AN$2:$AS$100,4,FALSE),
IF($AI$2="AQ40",VLOOKUP($A4,Consumables!$AN$2:$AS$100,5,FALSE),
IF($AI$2="NAXX",VLOOKUP($A4,Consumables!$AN$2:$AS$100,6,FALSE),
IF($AI$2="X",0))))))+
(IF($AI$3="ONY",VLOOKUP($A4,Consumables!$AN$2:$AS$100,2,FALSE),
IF($AI$3="MC",VLOOKUP($A4,Consumables!$AN$2:$AS$100,3,FALSE),
IF($AI$3="BWL",VLOOKUP($A4,Consumables!$AN$2:$AS$100,4,FALSE),
IF($AI$3="AQ40",VLOOKUP($A4,Consumables!$AN$2:$AS$100,5,FALSE),
IF($AI$3="NAXX",VLOOKUP($A4,Consumables!$AN$2:$AS$100,6,FALSE),
IF($AI$3="X",0)))))))+
(IF($AI$4="ONY",VLOOKUP($A4,Consumables!$AN$2:$AS$100,2,FALSE),
IF($AI$4="MC",VLOOKUP($A4,Consumables!$AN$2:$AS$100,3,FALSE),
IF($AI$4="BWL",VLOOKUP($A4,Consumables!$AN$2:$AS$100,4,FALSE),
IF($AI$4="AQ40",VLOOKUP($A4,Consumables!$AN$2:$AS$100,5,FALSE),
IF($AI$4="NAXX",VLOOKUP($A4,Consumables!$AN$2:$AS$100,6,FALSE),
IF($AI$4="X",0,0))))))))</f>
        <v>2</v>
      </c>
      <c r="E4" s="3">
        <f t="shared" si="1"/>
        <v>0</v>
      </c>
      <c r="F4" s="1" t="s">
        <v>75</v>
      </c>
      <c r="G4" s="3">
        <v>1</v>
      </c>
      <c r="H4" s="1" t="s">
        <v>17</v>
      </c>
      <c r="I4" s="3">
        <v>1</v>
      </c>
      <c r="J4" s="1" t="s">
        <v>18</v>
      </c>
      <c r="K4" s="3">
        <v>1</v>
      </c>
      <c r="L4" s="3"/>
      <c r="M4" s="3"/>
      <c r="O4" s="1" t="s">
        <v>75</v>
      </c>
      <c r="P4" s="3">
        <f t="shared" si="2"/>
        <v>0</v>
      </c>
      <c r="Q4" s="1" t="s">
        <v>17</v>
      </c>
      <c r="R4" s="3">
        <f t="shared" si="3"/>
        <v>0</v>
      </c>
      <c r="S4" s="1" t="s">
        <v>18</v>
      </c>
      <c r="T4" s="3">
        <f t="shared" si="4"/>
        <v>0</v>
      </c>
      <c r="V4" s="3"/>
      <c r="X4" s="1" t="s">
        <v>391</v>
      </c>
      <c r="Y4" s="10">
        <f>IF(ISNA(VLOOKUP(X4,Scratch!$B$1:$C$3000,2,FALSE)),0,VLOOKUP(X4,Scratch!$B$1:$C$3000,2,FALSE))</f>
        <v>0</v>
      </c>
      <c r="Z4" s="3">
        <f t="shared" si="5"/>
        <v>0</v>
      </c>
      <c r="AA4" s="11">
        <f>T47+T48+T49</f>
        <v>0</v>
      </c>
      <c r="AC4" s="1" t="s">
        <v>378</v>
      </c>
      <c r="AD4" s="10">
        <f>IF(ISNA(VLOOKUP(AC4,Scratch!$B$1:$C$3000,2,FALSE)),0,VLOOKUP(AC4,Scratch!$B$1:$C$3000,2,FALSE))</f>
        <v>0</v>
      </c>
      <c r="AE4" s="2">
        <f t="shared" si="6"/>
        <v>0</v>
      </c>
      <c r="AF4" s="11">
        <f>P16</f>
        <v>0</v>
      </c>
      <c r="AI4" s="23" t="s">
        <v>345</v>
      </c>
      <c r="AN4" s="30" t="s">
        <v>356</v>
      </c>
      <c r="AO4" s="30">
        <v>0</v>
      </c>
      <c r="AP4" s="30">
        <v>0</v>
      </c>
      <c r="AQ4" s="30">
        <v>0</v>
      </c>
      <c r="AR4" s="30">
        <v>0</v>
      </c>
      <c r="AS4" s="30">
        <v>0</v>
      </c>
    </row>
    <row r="5" spans="1:45" x14ac:dyDescent="0.25">
      <c r="A5" s="1" t="s">
        <v>259</v>
      </c>
      <c r="B5" s="10">
        <f>IF(ISNA(VLOOKUP(A5,Scratch!$B$1:$C$3000,2,FALSE)),0,VLOOKUP(A5,Scratch!$B$1:$C$3000,2,FALSE))</f>
        <v>6</v>
      </c>
      <c r="C5" s="2">
        <f t="shared" si="0"/>
        <v>4</v>
      </c>
      <c r="D5" s="11">
        <f>(IF($AI$2="ONY",VLOOKUP($A5,Consumables!$AN$2:$AS$100,2,FALSE),
IF($AI$2="MC",VLOOKUP($A5,Consumables!$AN$2:$AS$100,3,FALSE),
IF($AI$2="BWL",VLOOKUP($A5,Consumables!$AN$2:$AS$100,4,FALSE),
IF($AI$2="AQ40",VLOOKUP($A5,Consumables!$AN$2:$AS$100,5,FALSE),
IF($AI$2="NAXX",VLOOKUP($A5,Consumables!$AN$2:$AS$100,6,FALSE),
IF($AI$2="X",0))))))+
(IF($AI$3="ONY",VLOOKUP($A5,Consumables!$AN$2:$AS$100,2,FALSE),
IF($AI$3="MC",VLOOKUP($A5,Consumables!$AN$2:$AS$100,3,FALSE),
IF($AI$3="BWL",VLOOKUP($A5,Consumables!$AN$2:$AS$100,4,FALSE),
IF($AI$3="AQ40",VLOOKUP($A5,Consumables!$AN$2:$AS$100,5,FALSE),
IF($AI$3="NAXX",VLOOKUP($A5,Consumables!$AN$2:$AS$100,6,FALSE),
IF($AI$3="X",0)))))))+
(IF($AI$4="ONY",VLOOKUP($A5,Consumables!$AN$2:$AS$100,2,FALSE),
IF($AI$4="MC",VLOOKUP($A5,Consumables!$AN$2:$AS$100,3,FALSE),
IF($AI$4="BWL",VLOOKUP($A5,Consumables!$AN$2:$AS$100,4,FALSE),
IF($AI$4="AQ40",VLOOKUP($A5,Consumables!$AN$2:$AS$100,5,FALSE),
IF($AI$4="NAXX",VLOOKUP($A5,Consumables!$AN$2:$AS$100,6,FALSE),
IF($AI$4="X",0,0))))))))</f>
        <v>2</v>
      </c>
      <c r="E5" s="3">
        <f t="shared" si="1"/>
        <v>0</v>
      </c>
      <c r="F5" s="1" t="s">
        <v>268</v>
      </c>
      <c r="G5" s="3">
        <v>1</v>
      </c>
      <c r="H5" s="1" t="s">
        <v>17</v>
      </c>
      <c r="I5" s="3">
        <v>1</v>
      </c>
      <c r="J5" s="1" t="s">
        <v>18</v>
      </c>
      <c r="K5" s="3">
        <v>1</v>
      </c>
      <c r="L5" s="3"/>
      <c r="M5" s="3"/>
      <c r="O5" s="1" t="str">
        <f>F5</f>
        <v>elemental water</v>
      </c>
      <c r="P5" s="3">
        <f t="shared" si="2"/>
        <v>0</v>
      </c>
      <c r="Q5" s="1" t="str">
        <f>H5</f>
        <v>dreamfoil</v>
      </c>
      <c r="R5" s="3">
        <f t="shared" si="3"/>
        <v>0</v>
      </c>
      <c r="S5" s="1" t="str">
        <f>J5</f>
        <v>crystal vial</v>
      </c>
      <c r="T5" s="3">
        <f t="shared" si="4"/>
        <v>0</v>
      </c>
      <c r="X5" s="1" t="s">
        <v>333</v>
      </c>
      <c r="Y5" s="10">
        <f>IF(ISNA(VLOOKUP(X5,Scratch!$B$1:$C$3000,2,FALSE)),0,VLOOKUP(X5,Scratch!$B$1:$C$3000,2,FALSE))</f>
        <v>2</v>
      </c>
      <c r="Z5" s="3">
        <f t="shared" si="5"/>
        <v>2</v>
      </c>
      <c r="AA5" s="11">
        <f>P17+R21</f>
        <v>0</v>
      </c>
      <c r="AC5" s="1" t="s">
        <v>372</v>
      </c>
      <c r="AD5" s="10">
        <f>IF(ISNA(VLOOKUP(AC5,Scratch!$B$1:$C$3000,2,FALSE)),0,VLOOKUP(AC5,Scratch!$B$1:$C$3000,2,FALSE))</f>
        <v>0</v>
      </c>
      <c r="AE5" s="2">
        <f t="shared" si="6"/>
        <v>0</v>
      </c>
      <c r="AF5" s="11">
        <f>R30</f>
        <v>0</v>
      </c>
      <c r="AN5" s="30" t="s">
        <v>110</v>
      </c>
      <c r="AO5" s="30">
        <v>0</v>
      </c>
      <c r="AP5" s="30">
        <v>1</v>
      </c>
      <c r="AQ5" s="30">
        <v>1</v>
      </c>
      <c r="AR5" s="30">
        <v>1</v>
      </c>
      <c r="AS5" s="30">
        <v>1</v>
      </c>
    </row>
    <row r="6" spans="1:45" x14ac:dyDescent="0.25">
      <c r="A6" s="1" t="s">
        <v>238</v>
      </c>
      <c r="B6" s="10">
        <f>IF(ISNA(VLOOKUP(A6,Scratch!$B$1:$C$3000,2,FALSE)),0,VLOOKUP(A6,Scratch!$B$1:$C$3000,2,FALSE))</f>
        <v>5</v>
      </c>
      <c r="C6" s="2">
        <f t="shared" si="0"/>
        <v>0</v>
      </c>
      <c r="D6" s="11">
        <f>(IF($AI$2="ONY",VLOOKUP($A6,Consumables!$AN$2:$AS$100,2,FALSE),
IF($AI$2="MC",VLOOKUP($A6,Consumables!$AN$2:$AS$100,3,FALSE),
IF($AI$2="BWL",VLOOKUP($A6,Consumables!$AN$2:$AS$100,4,FALSE),
IF($AI$2="AQ40",VLOOKUP($A6,Consumables!$AN$2:$AS$100,5,FALSE),
IF($AI$2="NAXX",VLOOKUP($A6,Consumables!$AN$2:$AS$100,6,FALSE),
IF($AI$2="X",0))))))+
(IF($AI$3="ONY",VLOOKUP($A6,Consumables!$AN$2:$AS$100,2,FALSE),
IF($AI$3="MC",VLOOKUP($A6,Consumables!$AN$2:$AS$100,3,FALSE),
IF($AI$3="BWL",VLOOKUP($A6,Consumables!$AN$2:$AS$100,4,FALSE),
IF($AI$3="AQ40",VLOOKUP($A6,Consumables!$AN$2:$AS$100,5,FALSE),
IF($AI$3="NAXX",VLOOKUP($A6,Consumables!$AN$2:$AS$100,6,FALSE),
IF($AI$3="X",0)))))))+
(IF($AI$4="ONY",VLOOKUP($A6,Consumables!$AN$2:$AS$100,2,FALSE),
IF($AI$4="MC",VLOOKUP($A6,Consumables!$AN$2:$AS$100,3,FALSE),
IF($AI$4="BWL",VLOOKUP($A6,Consumables!$AN$2:$AS$100,4,FALSE),
IF($AI$4="AQ40",VLOOKUP($A6,Consumables!$AN$2:$AS$100,5,FALSE),
IF($AI$4="NAXX",VLOOKUP($A6,Consumables!$AN$2:$AS$100,6,FALSE),
IF($AI$4="X",0,0))))))))</f>
        <v>5</v>
      </c>
      <c r="E6" s="3">
        <f t="shared" si="1"/>
        <v>0</v>
      </c>
      <c r="F6" s="1" t="s">
        <v>24</v>
      </c>
      <c r="G6" s="3">
        <v>1</v>
      </c>
      <c r="H6" s="1" t="s">
        <v>17</v>
      </c>
      <c r="I6" s="3">
        <v>1</v>
      </c>
      <c r="J6" s="1" t="s">
        <v>18</v>
      </c>
      <c r="K6" s="3">
        <v>1</v>
      </c>
      <c r="L6" s="3"/>
      <c r="M6" s="3"/>
      <c r="O6" s="1" t="s">
        <v>24</v>
      </c>
      <c r="P6" s="3">
        <f t="shared" si="2"/>
        <v>0</v>
      </c>
      <c r="Q6" s="1" t="s">
        <v>17</v>
      </c>
      <c r="R6" s="3">
        <f t="shared" si="3"/>
        <v>0</v>
      </c>
      <c r="S6" s="1" t="s">
        <v>18</v>
      </c>
      <c r="T6" s="3">
        <f t="shared" si="4"/>
        <v>0</v>
      </c>
      <c r="V6" s="3"/>
      <c r="X6" s="1" t="s">
        <v>207</v>
      </c>
      <c r="Y6" s="10">
        <f>IF(ISNA(VLOOKUP(X6,Scratch!$B$1:$C$3000,2,FALSE)),0,VLOOKUP(X6,Scratch!$B$1:$C$3000,2,FALSE))</f>
        <v>124</v>
      </c>
      <c r="Z6" s="3">
        <f t="shared" si="5"/>
        <v>124</v>
      </c>
      <c r="AA6" s="11">
        <f>R18</f>
        <v>0</v>
      </c>
      <c r="AC6" s="1" t="s">
        <v>48</v>
      </c>
      <c r="AD6" s="10">
        <f>IF(ISNA(VLOOKUP(AC6,Scratch!$B$1:$C$3000,2,FALSE)),0,VLOOKUP(AC6,Scratch!$B$1:$C$3000,2,FALSE))</f>
        <v>0</v>
      </c>
      <c r="AE6" s="2">
        <f t="shared" si="6"/>
        <v>0</v>
      </c>
      <c r="AF6" s="11">
        <f>P7</f>
        <v>0</v>
      </c>
      <c r="AI6" s="37" t="s">
        <v>436</v>
      </c>
      <c r="AJ6" s="38"/>
      <c r="AK6" s="38"/>
      <c r="AL6" s="39"/>
      <c r="AN6" s="30" t="s">
        <v>278</v>
      </c>
      <c r="AO6" s="30">
        <v>0</v>
      </c>
      <c r="AP6" s="30">
        <v>0</v>
      </c>
      <c r="AQ6" s="30">
        <v>0</v>
      </c>
      <c r="AR6" s="30">
        <v>0</v>
      </c>
      <c r="AS6" s="30">
        <v>0</v>
      </c>
    </row>
    <row r="7" spans="1:45" ht="15" customHeight="1" x14ac:dyDescent="0.25">
      <c r="A7" s="1" t="s">
        <v>96</v>
      </c>
      <c r="B7" s="10">
        <f>IF(ISNA(VLOOKUP(A7,Scratch!$B$1:$C$3000,2,FALSE)),0,VLOOKUP(A7,Scratch!$B$1:$C$3000,2,FALSE))</f>
        <v>5</v>
      </c>
      <c r="C7" s="2">
        <f t="shared" si="0"/>
        <v>0</v>
      </c>
      <c r="D7" s="11">
        <f>(IF($AI$2="ONY",VLOOKUP($A7,Consumables!$AN$2:$AS$100,2,FALSE),
IF($AI$2="MC",VLOOKUP($A7,Consumables!$AN$2:$AS$100,3,FALSE),
IF($AI$2="BWL",VLOOKUP($A7,Consumables!$AN$2:$AS$100,4,FALSE),
IF($AI$2="AQ40",VLOOKUP($A7,Consumables!$AN$2:$AS$100,5,FALSE),
IF($AI$2="NAXX",VLOOKUP($A7,Consumables!$AN$2:$AS$100,6,FALSE),
IF($AI$2="X",0))))))+
(IF($AI$3="ONY",VLOOKUP($A7,Consumables!$AN$2:$AS$100,2,FALSE),
IF($AI$3="MC",VLOOKUP($A7,Consumables!$AN$2:$AS$100,3,FALSE),
IF($AI$3="BWL",VLOOKUP($A7,Consumables!$AN$2:$AS$100,4,FALSE),
IF($AI$3="AQ40",VLOOKUP($A7,Consumables!$AN$2:$AS$100,5,FALSE),
IF($AI$3="NAXX",VLOOKUP($A7,Consumables!$AN$2:$AS$100,6,FALSE),
IF($AI$3="X",0)))))))+
(IF($AI$4="ONY",VLOOKUP($A7,Consumables!$AN$2:$AS$100,2,FALSE),
IF($AI$4="MC",VLOOKUP($A7,Consumables!$AN$2:$AS$100,3,FALSE),
IF($AI$4="BWL",VLOOKUP($A7,Consumables!$AN$2:$AS$100,4,FALSE),
IF($AI$4="AQ40",VLOOKUP($A7,Consumables!$AN$2:$AS$100,5,FALSE),
IF($AI$4="NAXX",VLOOKUP($A7,Consumables!$AN$2:$AS$100,6,FALSE),
IF($AI$4="X",0,0))))))))</f>
        <v>5</v>
      </c>
      <c r="E7" s="3">
        <f t="shared" si="1"/>
        <v>0</v>
      </c>
      <c r="F7" s="1" t="s">
        <v>16</v>
      </c>
      <c r="G7" s="3">
        <v>1</v>
      </c>
      <c r="H7" s="1" t="s">
        <v>17</v>
      </c>
      <c r="I7" s="3">
        <v>1</v>
      </c>
      <c r="J7" s="1" t="s">
        <v>18</v>
      </c>
      <c r="K7" s="3">
        <v>1</v>
      </c>
      <c r="L7" s="3"/>
      <c r="M7" s="3"/>
      <c r="O7" s="1" t="s">
        <v>16</v>
      </c>
      <c r="P7" s="3">
        <f t="shared" si="2"/>
        <v>0</v>
      </c>
      <c r="Q7" s="1" t="s">
        <v>17</v>
      </c>
      <c r="R7" s="3">
        <f t="shared" si="3"/>
        <v>0</v>
      </c>
      <c r="S7" s="1" t="s">
        <v>18</v>
      </c>
      <c r="T7" s="3">
        <f t="shared" si="4"/>
        <v>0</v>
      </c>
      <c r="V7" s="3"/>
      <c r="X7" s="1" t="s">
        <v>135</v>
      </c>
      <c r="Y7" s="10">
        <f>IF(ISNA(VLOOKUP(X7,Scratch!$B$1:$C$3000,2,FALSE)),0,VLOOKUP(X7,Scratch!$B$1:$C$3000,2,FALSE))</f>
        <v>19</v>
      </c>
      <c r="Z7" s="3">
        <f t="shared" si="5"/>
        <v>19</v>
      </c>
      <c r="AA7" s="11">
        <f>P43</f>
        <v>0</v>
      </c>
      <c r="AC7" s="1" t="s">
        <v>429</v>
      </c>
      <c r="AD7" s="10">
        <f>IF(ISNA(VLOOKUP(AC7,Scratch!$B$1:$C$3000,2,FALSE)),0,VLOOKUP(AC7,Scratch!$B$1:$C$3000,2,FALSE))</f>
        <v>0</v>
      </c>
      <c r="AE7" s="2">
        <f t="shared" si="6"/>
        <v>0</v>
      </c>
      <c r="AF7" s="11">
        <f>R42+P122</f>
        <v>0</v>
      </c>
      <c r="AI7" s="40"/>
      <c r="AJ7" s="41"/>
      <c r="AK7" s="41"/>
      <c r="AL7" s="42"/>
      <c r="AN7" s="30" t="s">
        <v>146</v>
      </c>
      <c r="AO7" s="30">
        <v>0</v>
      </c>
      <c r="AP7" s="30">
        <v>0</v>
      </c>
      <c r="AQ7" s="30">
        <v>0</v>
      </c>
      <c r="AR7" s="30">
        <v>0</v>
      </c>
      <c r="AS7" s="30">
        <v>0</v>
      </c>
    </row>
    <row r="8" spans="1:45" ht="15" customHeight="1" x14ac:dyDescent="0.25">
      <c r="A8" s="1" t="s">
        <v>341</v>
      </c>
      <c r="B8" s="10">
        <f>IF(ISNA(VLOOKUP(A8,Scratch!$B$1:$C$3000,2,FALSE)),0,VLOOKUP(A8,Scratch!$B$1:$C$3000,2,FALSE))</f>
        <v>4</v>
      </c>
      <c r="C8" s="2">
        <f t="shared" si="0"/>
        <v>4</v>
      </c>
      <c r="D8" s="11">
        <f>(IF($AI$2="ONY",VLOOKUP($A8,Consumables!$AN$2:$AS$100,2,FALSE),
IF($AI$2="MC",VLOOKUP($A8,Consumables!$AN$2:$AS$100,3,FALSE),
IF($AI$2="BWL",VLOOKUP($A8,Consumables!$AN$2:$AS$100,4,FALSE),
IF($AI$2="AQ40",VLOOKUP($A8,Consumables!$AN$2:$AS$100,5,FALSE),
IF($AI$2="NAXX",VLOOKUP($A8,Consumables!$AN$2:$AS$100,6,FALSE),
IF($AI$2="X",0))))))+
(IF($AI$3="ONY",VLOOKUP($A8,Consumables!$AN$2:$AS$100,2,FALSE),
IF($AI$3="MC",VLOOKUP($A8,Consumables!$AN$2:$AS$100,3,FALSE),
IF($AI$3="BWL",VLOOKUP($A8,Consumables!$AN$2:$AS$100,4,FALSE),
IF($AI$3="AQ40",VLOOKUP($A8,Consumables!$AN$2:$AS$100,5,FALSE),
IF($AI$3="NAXX",VLOOKUP($A8,Consumables!$AN$2:$AS$100,6,FALSE),
IF($AI$3="X",0)))))))+
(IF($AI$4="ONY",VLOOKUP($A8,Consumables!$AN$2:$AS$100,2,FALSE),
IF($AI$4="MC",VLOOKUP($A8,Consumables!$AN$2:$AS$100,3,FALSE),
IF($AI$4="BWL",VLOOKUP($A8,Consumables!$AN$2:$AS$100,4,FALSE),
IF($AI$4="AQ40",VLOOKUP($A8,Consumables!$AN$2:$AS$100,5,FALSE),
IF($AI$4="NAXX",VLOOKUP($A8,Consumables!$AN$2:$AS$100,6,FALSE),
IF($AI$4="X",0,0))))))))</f>
        <v>0</v>
      </c>
      <c r="E8" s="3">
        <f t="shared" si="1"/>
        <v>0</v>
      </c>
      <c r="F8" s="1" t="s">
        <v>21</v>
      </c>
      <c r="G8" s="3">
        <v>1</v>
      </c>
      <c r="H8" s="1" t="s">
        <v>29</v>
      </c>
      <c r="I8" s="3">
        <v>2</v>
      </c>
      <c r="J8" s="1" t="s">
        <v>18</v>
      </c>
      <c r="K8" s="3">
        <v>1</v>
      </c>
      <c r="L8" s="3"/>
      <c r="M8" s="3"/>
      <c r="O8" s="1" t="s">
        <v>21</v>
      </c>
      <c r="P8" s="3">
        <f t="shared" si="2"/>
        <v>0</v>
      </c>
      <c r="Q8" s="1" t="s">
        <v>29</v>
      </c>
      <c r="R8" s="3">
        <f t="shared" si="3"/>
        <v>0</v>
      </c>
      <c r="S8" s="1" t="s">
        <v>18</v>
      </c>
      <c r="T8" s="3">
        <f t="shared" si="4"/>
        <v>0</v>
      </c>
      <c r="X8" s="1" t="s">
        <v>385</v>
      </c>
      <c r="Y8" s="10">
        <f>IF(ISNA(VLOOKUP(X8,Scratch!$B$1:$C$3000,2,FALSE)),0,VLOOKUP(X8,Scratch!$B$1:$C$3000,2,FALSE))</f>
        <v>0</v>
      </c>
      <c r="Z8" s="3">
        <f t="shared" si="5"/>
        <v>0</v>
      </c>
      <c r="AA8" s="11">
        <f>P30</f>
        <v>0</v>
      </c>
      <c r="AC8" s="1" t="s">
        <v>44</v>
      </c>
      <c r="AD8" s="10">
        <f>IF(ISNA(VLOOKUP(AC8,Scratch!$B$1:$C$3000,2,FALSE)),0,VLOOKUP(AC8,Scratch!$B$1:$C$3000,2,FALSE))</f>
        <v>0</v>
      </c>
      <c r="AE8" s="2">
        <f t="shared" si="6"/>
        <v>0</v>
      </c>
      <c r="AF8" s="11">
        <f>P14+P11</f>
        <v>0</v>
      </c>
      <c r="AI8" s="43"/>
      <c r="AJ8" s="44"/>
      <c r="AK8" s="44"/>
      <c r="AL8" s="45"/>
      <c r="AN8" s="30" t="s">
        <v>149</v>
      </c>
      <c r="AO8" s="30">
        <v>2</v>
      </c>
      <c r="AP8" s="30">
        <v>10</v>
      </c>
      <c r="AQ8" s="30">
        <v>10</v>
      </c>
      <c r="AR8" s="30">
        <v>10</v>
      </c>
      <c r="AS8" s="30">
        <v>10</v>
      </c>
    </row>
    <row r="9" spans="1:45" x14ac:dyDescent="0.25">
      <c r="A9" s="1" t="s">
        <v>414</v>
      </c>
      <c r="B9" s="10">
        <f>IF(ISNA(VLOOKUP(A9,Scratch!$B$1:$C$3000,2,FALSE)),0,VLOOKUP(A9,Scratch!$B$1:$C$3000,2,FALSE))</f>
        <v>0</v>
      </c>
      <c r="C9" s="2">
        <f t="shared" si="0"/>
        <v>0</v>
      </c>
      <c r="D9" s="11">
        <f>(IF($AI$2="ONY",VLOOKUP($A9,Consumables!$AN$2:$AS$100,2,FALSE),
IF($AI$2="MC",VLOOKUP($A9,Consumables!$AN$2:$AS$100,3,FALSE),
IF($AI$2="BWL",VLOOKUP($A9,Consumables!$AN$2:$AS$100,4,FALSE),
IF($AI$2="AQ40",VLOOKUP($A9,Consumables!$AN$2:$AS$100,5,FALSE),
IF($AI$2="NAXX",VLOOKUP($A9,Consumables!$AN$2:$AS$100,6,FALSE),
IF($AI$2="X",0))))))+
(IF($AI$3="ONY",VLOOKUP($A9,Consumables!$AN$2:$AS$100,2,FALSE),
IF($AI$3="MC",VLOOKUP($A9,Consumables!$AN$2:$AS$100,3,FALSE),
IF($AI$3="BWL",VLOOKUP($A9,Consumables!$AN$2:$AS$100,4,FALSE),
IF($AI$3="AQ40",VLOOKUP($A9,Consumables!$AN$2:$AS$100,5,FALSE),
IF($AI$3="NAXX",VLOOKUP($A9,Consumables!$AN$2:$AS$100,6,FALSE),
IF($AI$3="X",0)))))))+
(IF($AI$4="ONY",VLOOKUP($A9,Consumables!$AN$2:$AS$100,2,FALSE),
IF($AI$4="MC",VLOOKUP($A9,Consumables!$AN$2:$AS$100,3,FALSE),
IF($AI$4="BWL",VLOOKUP($A9,Consumables!$AN$2:$AS$100,4,FALSE),
IF($AI$4="AQ40",VLOOKUP($A9,Consumables!$AN$2:$AS$100,5,FALSE),
IF($AI$4="NAXX",VLOOKUP($A9,Consumables!$AN$2:$AS$100,6,FALSE),
IF($AI$4="X",0,0))))))))</f>
        <v>0</v>
      </c>
      <c r="E9" s="3">
        <f t="shared" si="1"/>
        <v>0</v>
      </c>
      <c r="F9" s="1" t="s">
        <v>76</v>
      </c>
      <c r="G9" s="3">
        <v>1</v>
      </c>
      <c r="H9" s="1" t="s">
        <v>17</v>
      </c>
      <c r="I9" s="3">
        <v>3</v>
      </c>
      <c r="J9" s="1" t="s">
        <v>18</v>
      </c>
      <c r="K9" s="3">
        <v>1</v>
      </c>
      <c r="M9" s="3"/>
      <c r="O9" s="1" t="s">
        <v>76</v>
      </c>
      <c r="P9" s="3">
        <f t="shared" si="2"/>
        <v>0</v>
      </c>
      <c r="Q9" s="1" t="s">
        <v>17</v>
      </c>
      <c r="R9" s="3">
        <f t="shared" si="3"/>
        <v>0</v>
      </c>
      <c r="S9" s="1" t="s">
        <v>18</v>
      </c>
      <c r="T9" s="3">
        <f t="shared" si="4"/>
        <v>0</v>
      </c>
      <c r="X9" s="1" t="s">
        <v>386</v>
      </c>
      <c r="Y9" s="10">
        <f>IF(ISNA(VLOOKUP(X9,Scratch!$B$1:$C$3000,2,FALSE)),0,VLOOKUP(X9,Scratch!$B$1:$C$3000,2,FALSE))</f>
        <v>0</v>
      </c>
      <c r="Z9" s="3">
        <f t="shared" si="5"/>
        <v>0</v>
      </c>
      <c r="AA9" s="11">
        <f>T30</f>
        <v>0</v>
      </c>
      <c r="AC9" s="1" t="s">
        <v>430</v>
      </c>
      <c r="AD9" s="10">
        <f>IF(ISNA(VLOOKUP(AC9,Scratch!$B$1:$C$3000,2,FALSE)),0,VLOOKUP(AC9,Scratch!$B$1:$C$3000,2,FALSE))</f>
        <v>0</v>
      </c>
      <c r="AE9" s="2">
        <f t="shared" si="6"/>
        <v>0</v>
      </c>
      <c r="AF9" s="11">
        <f>T42</f>
        <v>0</v>
      </c>
      <c r="AN9" s="30" t="s">
        <v>448</v>
      </c>
      <c r="AO9" s="30">
        <v>0</v>
      </c>
      <c r="AP9" s="30">
        <v>0</v>
      </c>
      <c r="AQ9" s="30">
        <v>0</v>
      </c>
      <c r="AR9" s="30">
        <v>0</v>
      </c>
      <c r="AS9" s="30">
        <v>0</v>
      </c>
    </row>
    <row r="10" spans="1:45" x14ac:dyDescent="0.25">
      <c r="A10" s="1" t="s">
        <v>83</v>
      </c>
      <c r="B10" s="10">
        <f>IF(ISNA(VLOOKUP(A10,Scratch!$B$1:$C$3000,2,FALSE)),0,VLOOKUP(A10,Scratch!$B$1:$C$3000,2,FALSE))</f>
        <v>10</v>
      </c>
      <c r="C10" s="2">
        <f t="shared" si="0"/>
        <v>0</v>
      </c>
      <c r="D10" s="11">
        <f>(IF($AI$2="ONY",VLOOKUP($A10,Consumables!$AN$2:$AS$100,2,FALSE),
IF($AI$2="MC",VLOOKUP($A10,Consumables!$AN$2:$AS$100,3,FALSE),
IF($AI$2="BWL",VLOOKUP($A10,Consumables!$AN$2:$AS$100,4,FALSE),
IF($AI$2="AQ40",VLOOKUP($A10,Consumables!$AN$2:$AS$100,5,FALSE),
IF($AI$2="NAXX",VLOOKUP($A10,Consumables!$AN$2:$AS$100,6,FALSE),
IF($AI$2="X",0))))))+
(IF($AI$3="ONY",VLOOKUP($A10,Consumables!$AN$2:$AS$100,2,FALSE),
IF($AI$3="MC",VLOOKUP($A10,Consumables!$AN$2:$AS$100,3,FALSE),
IF($AI$3="BWL",VLOOKUP($A10,Consumables!$AN$2:$AS$100,4,FALSE),
IF($AI$3="AQ40",VLOOKUP($A10,Consumables!$AN$2:$AS$100,5,FALSE),
IF($AI$3="NAXX",VLOOKUP($A10,Consumables!$AN$2:$AS$100,6,FALSE),
IF($AI$3="X",0)))))))+
(IF($AI$4="ONY",VLOOKUP($A10,Consumables!$AN$2:$AS$100,2,FALSE),
IF($AI$4="MC",VLOOKUP($A10,Consumables!$AN$2:$AS$100,3,FALSE),
IF($AI$4="BWL",VLOOKUP($A10,Consumables!$AN$2:$AS$100,4,FALSE),
IF($AI$4="AQ40",VLOOKUP($A10,Consumables!$AN$2:$AS$100,5,FALSE),
IF($AI$4="NAXX",VLOOKUP($A10,Consumables!$AN$2:$AS$100,6,FALSE),
IF($AI$4="X",0,0))))))))</f>
        <v>10</v>
      </c>
      <c r="E10" s="3">
        <f t="shared" si="1"/>
        <v>0</v>
      </c>
      <c r="F10" s="1" t="s">
        <v>76</v>
      </c>
      <c r="G10" s="3">
        <v>2</v>
      </c>
      <c r="H10" s="1" t="s">
        <v>29</v>
      </c>
      <c r="I10" s="3">
        <v>2</v>
      </c>
      <c r="J10" s="1" t="s">
        <v>18</v>
      </c>
      <c r="K10" s="3">
        <v>1</v>
      </c>
      <c r="L10" s="3"/>
      <c r="M10" s="3"/>
      <c r="O10" s="1" t="s">
        <v>76</v>
      </c>
      <c r="P10" s="3">
        <f t="shared" si="2"/>
        <v>0</v>
      </c>
      <c r="Q10" s="1" t="s">
        <v>29</v>
      </c>
      <c r="R10" s="3">
        <f t="shared" si="3"/>
        <v>0</v>
      </c>
      <c r="S10" s="1" t="s">
        <v>18</v>
      </c>
      <c r="T10" s="3">
        <f t="shared" si="4"/>
        <v>0</v>
      </c>
      <c r="V10" s="3"/>
      <c r="X10" s="1" t="s">
        <v>337</v>
      </c>
      <c r="Y10" s="10">
        <f>IF(ISNA(VLOOKUP(X10,Scratch!$B$1:$C$3000,2,FALSE)),0,VLOOKUP(X10,Scratch!$B$1:$C$3000,2,FALSE))</f>
        <v>8</v>
      </c>
      <c r="Z10" s="3">
        <f t="shared" si="5"/>
        <v>8</v>
      </c>
      <c r="AA10" s="11">
        <f>R44+P45+P125</f>
        <v>0</v>
      </c>
      <c r="AI10" s="46" t="s">
        <v>437</v>
      </c>
      <c r="AJ10" s="47"/>
      <c r="AK10" s="47"/>
      <c r="AL10" s="48"/>
      <c r="AN10" s="30" t="s">
        <v>421</v>
      </c>
      <c r="AO10" s="30">
        <v>0</v>
      </c>
      <c r="AP10" s="30">
        <v>0</v>
      </c>
      <c r="AQ10" s="30">
        <v>0</v>
      </c>
      <c r="AR10" s="30">
        <v>0</v>
      </c>
      <c r="AS10" s="30">
        <v>0</v>
      </c>
    </row>
    <row r="11" spans="1:45" ht="15" customHeight="1" x14ac:dyDescent="0.25">
      <c r="A11" s="1" t="s">
        <v>66</v>
      </c>
      <c r="B11" s="10">
        <f>IF(ISNA(VLOOKUP(A11,Scratch!$B$1:$C$3000,2,FALSE)),0,VLOOKUP(A11,Scratch!$B$1:$C$3000,2,FALSE))</f>
        <v>8</v>
      </c>
      <c r="C11" s="2">
        <f t="shared" si="0"/>
        <v>8</v>
      </c>
      <c r="D11" s="11">
        <f>(IF($AI$2="ONY",VLOOKUP($A11,Consumables!$AN$2:$AS$100,2,FALSE),
IF($AI$2="MC",VLOOKUP($A11,Consumables!$AN$2:$AS$100,3,FALSE),
IF($AI$2="BWL",VLOOKUP($A11,Consumables!$AN$2:$AS$100,4,FALSE),
IF($AI$2="AQ40",VLOOKUP($A11,Consumables!$AN$2:$AS$100,5,FALSE),
IF($AI$2="NAXX",VLOOKUP($A11,Consumables!$AN$2:$AS$100,6,FALSE),
IF($AI$2="X",0))))))+
(IF($AI$3="ONY",VLOOKUP($A11,Consumables!$AN$2:$AS$100,2,FALSE),
IF($AI$3="MC",VLOOKUP($A11,Consumables!$AN$2:$AS$100,3,FALSE),
IF($AI$3="BWL",VLOOKUP($A11,Consumables!$AN$2:$AS$100,4,FALSE),
IF($AI$3="AQ40",VLOOKUP($A11,Consumables!$AN$2:$AS$100,5,FALSE),
IF($AI$3="NAXX",VLOOKUP($A11,Consumables!$AN$2:$AS$100,6,FALSE),
IF($AI$3="X",0)))))))+
(IF($AI$4="ONY",VLOOKUP($A11,Consumables!$AN$2:$AS$100,2,FALSE),
IF($AI$4="MC",VLOOKUP($A11,Consumables!$AN$2:$AS$100,3,FALSE),
IF($AI$4="BWL",VLOOKUP($A11,Consumables!$AN$2:$AS$100,4,FALSE),
IF($AI$4="AQ40",VLOOKUP($A11,Consumables!$AN$2:$AS$100,5,FALSE),
IF($AI$4="NAXX",VLOOKUP($A11,Consumables!$AN$2:$AS$100,6,FALSE),
IF($AI$4="X",0,0))))))))</f>
        <v>0</v>
      </c>
      <c r="E11" s="3">
        <f t="shared" si="1"/>
        <v>0</v>
      </c>
      <c r="F11" s="1" t="s">
        <v>54</v>
      </c>
      <c r="G11" s="3">
        <v>3</v>
      </c>
      <c r="H11" s="1" t="s">
        <v>55</v>
      </c>
      <c r="I11" s="3">
        <v>1</v>
      </c>
      <c r="J11" s="1" t="s">
        <v>18</v>
      </c>
      <c r="K11" s="3">
        <v>1</v>
      </c>
      <c r="L11" s="3"/>
      <c r="M11" s="3"/>
      <c r="O11" s="1" t="str">
        <f>F11</f>
        <v>stonescale oil</v>
      </c>
      <c r="P11" s="3">
        <f t="shared" si="2"/>
        <v>0</v>
      </c>
      <c r="Q11" s="1" t="str">
        <f>H11</f>
        <v>thorium ore</v>
      </c>
      <c r="R11" s="3">
        <f t="shared" si="3"/>
        <v>0</v>
      </c>
      <c r="S11" s="1" t="s">
        <v>18</v>
      </c>
      <c r="T11" s="3">
        <f t="shared" si="4"/>
        <v>0</v>
      </c>
      <c r="X11" s="1" t="s">
        <v>39</v>
      </c>
      <c r="Y11" s="10">
        <f>IF(ISNA(VLOOKUP(X11,Scratch!$B$1:$C$3000,2,FALSE)),0,VLOOKUP(X11,Scratch!$B$1:$C$3000,2,FALSE))</f>
        <v>70</v>
      </c>
      <c r="Z11" s="3">
        <f t="shared" si="5"/>
        <v>70</v>
      </c>
      <c r="AA11" s="11">
        <f>R3+R6+R4+R5+R7+R13+R2+R47+R48+R9</f>
        <v>0</v>
      </c>
      <c r="AC11" s="9" t="s">
        <v>36</v>
      </c>
      <c r="AD11" s="9"/>
      <c r="AE11" s="9"/>
      <c r="AF11" s="9"/>
      <c r="AI11" s="49"/>
      <c r="AJ11" s="50"/>
      <c r="AK11" s="50"/>
      <c r="AL11" s="51"/>
      <c r="AN11" s="30" t="s">
        <v>325</v>
      </c>
      <c r="AO11" s="30">
        <v>0</v>
      </c>
      <c r="AP11" s="30">
        <v>0</v>
      </c>
      <c r="AQ11" s="30">
        <v>0</v>
      </c>
      <c r="AR11" s="30">
        <v>0</v>
      </c>
      <c r="AS11" s="30">
        <v>0</v>
      </c>
    </row>
    <row r="12" spans="1:45" x14ac:dyDescent="0.25">
      <c r="A12" s="1" t="s">
        <v>88</v>
      </c>
      <c r="B12" s="10">
        <f>IF(ISNA(VLOOKUP(A12,Scratch!$B$1:$C$3000,2,FALSE)),0,VLOOKUP(A12,Scratch!$B$1:$C$3000,2,FALSE))</f>
        <v>61</v>
      </c>
      <c r="C12" s="2">
        <f t="shared" si="0"/>
        <v>56</v>
      </c>
      <c r="D12" s="11">
        <f>(IF($AI$2="ONY",VLOOKUP($A12,Consumables!$AN$2:$AS$100,2,FALSE),
IF($AI$2="MC",VLOOKUP($A12,Consumables!$AN$2:$AS$100,3,FALSE),
IF($AI$2="BWL",VLOOKUP($A12,Consumables!$AN$2:$AS$100,4,FALSE),
IF($AI$2="AQ40",VLOOKUP($A12,Consumables!$AN$2:$AS$100,5,FALSE),
IF($AI$2="NAXX",VLOOKUP($A12,Consumables!$AN$2:$AS$100,6,FALSE),
IF($AI$2="X",0))))))+
(IF($AI$3="ONY",VLOOKUP($A12,Consumables!$AN$2:$AS$100,2,FALSE),
IF($AI$3="MC",VLOOKUP($A12,Consumables!$AN$2:$AS$100,3,FALSE),
IF($AI$3="BWL",VLOOKUP($A12,Consumables!$AN$2:$AS$100,4,FALSE),
IF($AI$3="AQ40",VLOOKUP($A12,Consumables!$AN$2:$AS$100,5,FALSE),
IF($AI$3="NAXX",VLOOKUP($A12,Consumables!$AN$2:$AS$100,6,FALSE),
IF($AI$3="X",0)))))))+
(IF($AI$4="ONY",VLOOKUP($A12,Consumables!$AN$2:$AS$100,2,FALSE),
IF($AI$4="MC",VLOOKUP($A12,Consumables!$AN$2:$AS$100,3,FALSE),
IF($AI$4="BWL",VLOOKUP($A12,Consumables!$AN$2:$AS$100,4,FALSE),
IF($AI$4="AQ40",VLOOKUP($A12,Consumables!$AN$2:$AS$100,5,FALSE),
IF($AI$4="NAXX",VLOOKUP($A12,Consumables!$AN$2:$AS$100,6,FALSE),
IF($AI$4="X",0,0))))))))</f>
        <v>5</v>
      </c>
      <c r="E12" s="3">
        <f t="shared" si="1"/>
        <v>0</v>
      </c>
      <c r="F12" s="1" t="s">
        <v>76</v>
      </c>
      <c r="G12" s="3">
        <v>1</v>
      </c>
      <c r="H12" s="1" t="s">
        <v>360</v>
      </c>
      <c r="I12" s="3">
        <v>2</v>
      </c>
      <c r="J12" s="1" t="s">
        <v>18</v>
      </c>
      <c r="K12" s="3">
        <v>1</v>
      </c>
      <c r="M12" s="3"/>
      <c r="O12" s="1" t="s">
        <v>76</v>
      </c>
      <c r="P12" s="3">
        <f t="shared" si="2"/>
        <v>0</v>
      </c>
      <c r="Q12" s="1" t="s">
        <v>360</v>
      </c>
      <c r="R12" s="3">
        <f t="shared" si="3"/>
        <v>0</v>
      </c>
      <c r="S12" s="1" t="s">
        <v>18</v>
      </c>
      <c r="T12" s="3">
        <f t="shared" si="4"/>
        <v>0</v>
      </c>
      <c r="X12" s="18" t="s">
        <v>302</v>
      </c>
      <c r="Y12" s="17">
        <f>IF(ISNA(VLOOKUP(X12,Scratch!$B$1:$C$3000,2,FALSE)),0,VLOOKUP(X12,Scratch!$B$1:$C$3000,2,FALSE))</f>
        <v>8</v>
      </c>
      <c r="Z12" s="3">
        <f t="shared" si="5"/>
        <v>8</v>
      </c>
      <c r="AA12" s="11">
        <f>P3</f>
        <v>0</v>
      </c>
      <c r="AC12" s="1" t="s">
        <v>373</v>
      </c>
      <c r="AD12" s="10">
        <f>IF(ISNA(VLOOKUP(AC12,Scratch!$B$1:$C$3000,2,FALSE)),0,VLOOKUP(AC12,Scratch!$B$1:$C$3000,2,FALSE))</f>
        <v>0</v>
      </c>
      <c r="AE12" s="2">
        <f>AD12-AF12</f>
        <v>0</v>
      </c>
      <c r="AF12" s="11">
        <f>T36+T37</f>
        <v>0</v>
      </c>
      <c r="AI12" s="49"/>
      <c r="AJ12" s="50"/>
      <c r="AK12" s="50"/>
      <c r="AL12" s="51"/>
      <c r="AN12" s="30" t="s">
        <v>104</v>
      </c>
      <c r="AO12" s="30">
        <v>1</v>
      </c>
      <c r="AP12" s="30">
        <v>0</v>
      </c>
      <c r="AQ12" s="30">
        <v>0</v>
      </c>
      <c r="AR12" s="30">
        <v>0</v>
      </c>
      <c r="AS12" s="30">
        <v>0</v>
      </c>
    </row>
    <row r="13" spans="1:45" x14ac:dyDescent="0.25">
      <c r="A13" s="1" t="s">
        <v>340</v>
      </c>
      <c r="B13" s="10">
        <f>IF(ISNA(VLOOKUP(A13,Scratch!$B$1:$C$3000,2,FALSE)),0,VLOOKUP(A13,Scratch!$B$1:$C$3000,2,FALSE))</f>
        <v>5</v>
      </c>
      <c r="C13" s="2">
        <f t="shared" si="0"/>
        <v>0</v>
      </c>
      <c r="D13" s="11">
        <f>(IF($AI$2="ONY",VLOOKUP($A13,Consumables!$AN$2:$AS$100,2,FALSE),
IF($AI$2="MC",VLOOKUP($A13,Consumables!$AN$2:$AS$100,3,FALSE),
IF($AI$2="BWL",VLOOKUP($A13,Consumables!$AN$2:$AS$100,4,FALSE),
IF($AI$2="AQ40",VLOOKUP($A13,Consumables!$AN$2:$AS$100,5,FALSE),
IF($AI$2="NAXX",VLOOKUP($A13,Consumables!$AN$2:$AS$100,6,FALSE),
IF($AI$2="X",0))))))+
(IF($AI$3="ONY",VLOOKUP($A13,Consumables!$AN$2:$AS$100,2,FALSE),
IF($AI$3="MC",VLOOKUP($A13,Consumables!$AN$2:$AS$100,3,FALSE),
IF($AI$3="BWL",VLOOKUP($A13,Consumables!$AN$2:$AS$100,4,FALSE),
IF($AI$3="AQ40",VLOOKUP($A13,Consumables!$AN$2:$AS$100,5,FALSE),
IF($AI$3="NAXX",VLOOKUP($A13,Consumables!$AN$2:$AS$100,6,FALSE),
IF($AI$3="X",0)))))))+
(IF($AI$4="ONY",VLOOKUP($A13,Consumables!$AN$2:$AS$100,2,FALSE),
IF($AI$4="MC",VLOOKUP($A13,Consumables!$AN$2:$AS$100,3,FALSE),
IF($AI$4="BWL",VLOOKUP($A13,Consumables!$AN$2:$AS$100,4,FALSE),
IF($AI$4="AQ40",VLOOKUP($A13,Consumables!$AN$2:$AS$100,5,FALSE),
IF($AI$4="NAXX",VLOOKUP($A13,Consumables!$AN$2:$AS$100,6,FALSE),
IF($AI$4="X",0,0))))))))</f>
        <v>5</v>
      </c>
      <c r="E13" s="3">
        <f t="shared" si="1"/>
        <v>0</v>
      </c>
      <c r="F13" s="1" t="s">
        <v>29</v>
      </c>
      <c r="G13" s="3">
        <v>2</v>
      </c>
      <c r="H13" s="1" t="s">
        <v>17</v>
      </c>
      <c r="I13" s="3">
        <v>1</v>
      </c>
      <c r="J13" s="1" t="s">
        <v>18</v>
      </c>
      <c r="K13" s="3">
        <v>1</v>
      </c>
      <c r="L13" s="3"/>
      <c r="M13" s="3"/>
      <c r="O13" s="1" t="s">
        <v>29</v>
      </c>
      <c r="P13" s="3">
        <f t="shared" si="2"/>
        <v>0</v>
      </c>
      <c r="Q13" s="1" t="s">
        <v>17</v>
      </c>
      <c r="R13" s="3">
        <f t="shared" si="3"/>
        <v>0</v>
      </c>
      <c r="S13" s="1" t="s">
        <v>18</v>
      </c>
      <c r="T13" s="3">
        <f t="shared" si="4"/>
        <v>0</v>
      </c>
      <c r="X13" s="1" t="s">
        <v>276</v>
      </c>
      <c r="Y13" s="10">
        <f>IF(ISNA(VLOOKUP(X13,Scratch!$B$1:$C$3000,2,FALSE)),0,VLOOKUP(X13,Scratch!$B$1:$C$3000,2,FALSE))</f>
        <v>0</v>
      </c>
      <c r="Z13" s="3">
        <f t="shared" si="5"/>
        <v>0</v>
      </c>
      <c r="AA13" s="11">
        <f>P6+P23+P44</f>
        <v>0</v>
      </c>
      <c r="AC13" s="1" t="s">
        <v>80</v>
      </c>
      <c r="AD13" s="10">
        <f>IF(ISNA(VLOOKUP(AC13,Scratch!$B$1:$C$3000,2,FALSE)),0,VLOOKUP(AC13,Scratch!$B$1:$C$3000,2,FALSE))</f>
        <v>27</v>
      </c>
      <c r="AE13" s="2">
        <f>AD13-AF13</f>
        <v>27</v>
      </c>
      <c r="AF13" s="11">
        <f>T3+T6+T4+T5+T10+T19+T11+T23+T14+T17+T2+T12+T8+T13+V47+V48+V49+T15+T16+T29+T9+T20+T21+T22+T24+T7</f>
        <v>0</v>
      </c>
      <c r="AI13" s="49"/>
      <c r="AJ13" s="50"/>
      <c r="AK13" s="50"/>
      <c r="AL13" s="51"/>
      <c r="AN13" s="30" t="s">
        <v>291</v>
      </c>
      <c r="AO13" s="30">
        <v>0</v>
      </c>
      <c r="AP13" s="30">
        <v>4</v>
      </c>
      <c r="AQ13" s="30">
        <v>6</v>
      </c>
      <c r="AR13" s="30">
        <v>6</v>
      </c>
      <c r="AS13" s="30">
        <v>6</v>
      </c>
    </row>
    <row r="14" spans="1:45" x14ac:dyDescent="0.25">
      <c r="A14" s="1" t="s">
        <v>90</v>
      </c>
      <c r="B14" s="10">
        <f>IF(ISNA(VLOOKUP(A14,Scratch!$B$1:$C$3000,2,FALSE)),0,VLOOKUP(A14,Scratch!$B$1:$C$3000,2,FALSE))</f>
        <v>9</v>
      </c>
      <c r="C14" s="2">
        <f t="shared" si="0"/>
        <v>9</v>
      </c>
      <c r="D14" s="11">
        <f>(IF($AI$2="ONY",VLOOKUP($A14,Consumables!$AN$2:$AS$100,2,FALSE),
IF($AI$2="MC",VLOOKUP($A14,Consumables!$AN$2:$AS$100,3,FALSE),
IF($AI$2="BWL",VLOOKUP($A14,Consumables!$AN$2:$AS$100,4,FALSE),
IF($AI$2="AQ40",VLOOKUP($A14,Consumables!$AN$2:$AS$100,5,FALSE),
IF($AI$2="NAXX",VLOOKUP($A14,Consumables!$AN$2:$AS$100,6,FALSE),
IF($AI$2="X",0))))))+
(IF($AI$3="ONY",VLOOKUP($A14,Consumables!$AN$2:$AS$100,2,FALSE),
IF($AI$3="MC",VLOOKUP($A14,Consumables!$AN$2:$AS$100,3,FALSE),
IF($AI$3="BWL",VLOOKUP($A14,Consumables!$AN$2:$AS$100,4,FALSE),
IF($AI$3="AQ40",VLOOKUP($A14,Consumables!$AN$2:$AS$100,5,FALSE),
IF($AI$3="NAXX",VLOOKUP($A14,Consumables!$AN$2:$AS$100,6,FALSE),
IF($AI$3="X",0)))))))+
(IF($AI$4="ONY",VLOOKUP($A14,Consumables!$AN$2:$AS$100,2,FALSE),
IF($AI$4="MC",VLOOKUP($A14,Consumables!$AN$2:$AS$100,3,FALSE),
IF($AI$4="BWL",VLOOKUP($A14,Consumables!$AN$2:$AS$100,4,FALSE),
IF($AI$4="AQ40",VLOOKUP($A14,Consumables!$AN$2:$AS$100,5,FALSE),
IF($AI$4="NAXX",VLOOKUP($A14,Consumables!$AN$2:$AS$100,6,FALSE),
IF($AI$4="X",0,0))))))))</f>
        <v>0</v>
      </c>
      <c r="E14" s="3">
        <f t="shared" si="1"/>
        <v>0</v>
      </c>
      <c r="F14" s="1" t="s">
        <v>54</v>
      </c>
      <c r="G14" s="3">
        <v>2</v>
      </c>
      <c r="H14" s="1" t="s">
        <v>20</v>
      </c>
      <c r="I14" s="3">
        <v>1</v>
      </c>
      <c r="J14" s="1" t="s">
        <v>18</v>
      </c>
      <c r="K14" s="3">
        <v>1</v>
      </c>
      <c r="L14" s="3"/>
      <c r="M14" s="3"/>
      <c r="O14" s="1" t="str">
        <f>F14</f>
        <v>stonescale oil</v>
      </c>
      <c r="P14" s="3">
        <f t="shared" si="2"/>
        <v>0</v>
      </c>
      <c r="Q14" s="1" t="str">
        <f>H14</f>
        <v>sungrass</v>
      </c>
      <c r="R14" s="3">
        <f t="shared" si="3"/>
        <v>0</v>
      </c>
      <c r="S14" s="1" t="str">
        <f>J14</f>
        <v>crystal vial</v>
      </c>
      <c r="T14" s="3">
        <f t="shared" si="4"/>
        <v>0</v>
      </c>
      <c r="V14" s="3"/>
      <c r="X14" s="1" t="s">
        <v>290</v>
      </c>
      <c r="Y14" s="10">
        <f>IF(ISNA(VLOOKUP(X14,Scratch!$B$1:$C$3000,2,FALSE)),0,VLOOKUP(X14,Scratch!$B$1:$C$3000,2,FALSE))</f>
        <v>0</v>
      </c>
      <c r="Z14" s="3">
        <f t="shared" si="5"/>
        <v>0</v>
      </c>
      <c r="AA14" s="11">
        <f>P4</f>
        <v>0</v>
      </c>
      <c r="AC14" s="1" t="s">
        <v>46</v>
      </c>
      <c r="AD14" s="10">
        <f>IF(ISNA(VLOOKUP(AC14,Scratch!$B$1:$C$3000,2,FALSE)),0,VLOOKUP(AC14,Scratch!$B$1:$C$3000,2,FALSE))</f>
        <v>4</v>
      </c>
      <c r="AE14" s="2">
        <f>AD14-AF14</f>
        <v>4</v>
      </c>
      <c r="AF14" s="11">
        <f>T18+T26+T28+T27+T25+P101+P105+P110</f>
        <v>0</v>
      </c>
      <c r="AI14" s="49"/>
      <c r="AJ14" s="50"/>
      <c r="AK14" s="50"/>
      <c r="AL14" s="51"/>
      <c r="AN14" s="30" t="s">
        <v>84</v>
      </c>
      <c r="AO14" s="30">
        <v>0</v>
      </c>
      <c r="AP14" s="30">
        <v>4</v>
      </c>
      <c r="AQ14" s="30">
        <v>5</v>
      </c>
      <c r="AR14" s="30">
        <v>5</v>
      </c>
      <c r="AS14" s="30">
        <v>0</v>
      </c>
    </row>
    <row r="15" spans="1:45" x14ac:dyDescent="0.25">
      <c r="A15" s="1" t="s">
        <v>375</v>
      </c>
      <c r="B15" s="10">
        <f>IF(ISNA(VLOOKUP(A15,Scratch!$B$1:$C$3000,2,FALSE)),0,VLOOKUP(A15,Scratch!$B$1:$C$3000,2,FALSE))</f>
        <v>0</v>
      </c>
      <c r="C15" s="2">
        <f t="shared" si="0"/>
        <v>0</v>
      </c>
      <c r="D15" s="11">
        <f>(IF($AI$2="ONY",VLOOKUP($A15,Consumables!$AN$2:$AS$100,2,FALSE),
IF($AI$2="MC",VLOOKUP($A15,Consumables!$AN$2:$AS$100,3,FALSE),
IF($AI$2="BWL",VLOOKUP($A15,Consumables!$AN$2:$AS$100,4,FALSE),
IF($AI$2="AQ40",VLOOKUP($A15,Consumables!$AN$2:$AS$100,5,FALSE),
IF($AI$2="NAXX",VLOOKUP($A15,Consumables!$AN$2:$AS$100,6,FALSE),
IF($AI$2="X",0))))))+
(IF($AI$3="ONY",VLOOKUP($A15,Consumables!$AN$2:$AS$100,2,FALSE),
IF($AI$3="MC",VLOOKUP($A15,Consumables!$AN$2:$AS$100,3,FALSE),
IF($AI$3="BWL",VLOOKUP($A15,Consumables!$AN$2:$AS$100,4,FALSE),
IF($AI$3="AQ40",VLOOKUP($A15,Consumables!$AN$2:$AS$100,5,FALSE),
IF($AI$3="NAXX",VLOOKUP($A15,Consumables!$AN$2:$AS$100,6,FALSE),
IF($AI$3="X",0)))))))+
(IF($AI$4="ONY",VLOOKUP($A15,Consumables!$AN$2:$AS$100,2,FALSE),
IF($AI$4="MC",VLOOKUP($A15,Consumables!$AN$2:$AS$100,3,FALSE),
IF($AI$4="BWL",VLOOKUP($A15,Consumables!$AN$2:$AS$100,4,FALSE),
IF($AI$4="AQ40",VLOOKUP($A15,Consumables!$AN$2:$AS$100,5,FALSE),
IF($AI$4="NAXX",VLOOKUP($A15,Consumables!$AN$2:$AS$100,6,FALSE),
IF($AI$4="X",0,0))))))))</f>
        <v>0</v>
      </c>
      <c r="E15" s="3">
        <f t="shared" si="1"/>
        <v>0</v>
      </c>
      <c r="F15" s="1" t="s">
        <v>227</v>
      </c>
      <c r="G15" s="3">
        <v>3</v>
      </c>
      <c r="I15" s="3"/>
      <c r="J15" s="1" t="s">
        <v>18</v>
      </c>
      <c r="K15" s="3">
        <v>1</v>
      </c>
      <c r="M15" s="3"/>
      <c r="O15" s="1" t="s">
        <v>227</v>
      </c>
      <c r="P15" s="3">
        <f t="shared" si="2"/>
        <v>0</v>
      </c>
      <c r="R15" s="3">
        <f t="shared" si="3"/>
        <v>0</v>
      </c>
      <c r="S15" s="1" t="s">
        <v>18</v>
      </c>
      <c r="T15" s="3">
        <f t="shared" si="4"/>
        <v>0</v>
      </c>
      <c r="V15" s="3"/>
      <c r="X15" s="1" t="s">
        <v>295</v>
      </c>
      <c r="Y15" s="10">
        <f>IF(ISNA(VLOOKUP(X15,Scratch!$B$1:$C$3000,2,FALSE)),0,VLOOKUP(X15,Scratch!$B$1:$C$3000,2,FALSE))</f>
        <v>5</v>
      </c>
      <c r="Z15" s="3">
        <f t="shared" si="5"/>
        <v>5</v>
      </c>
      <c r="AA15" s="11">
        <f>P5</f>
        <v>0</v>
      </c>
      <c r="AC15" s="1" t="s">
        <v>94</v>
      </c>
      <c r="AD15" s="10">
        <f>IF(ISNA(VLOOKUP(AC15,Scratch!$B$1:$C$3000,2,FALSE)),0,VLOOKUP(AC15,Scratch!$B$1:$C$3000,2,FALSE))</f>
        <v>44</v>
      </c>
      <c r="AE15" s="2">
        <f>AD15-AF15</f>
        <v>44</v>
      </c>
      <c r="AF15" s="11">
        <f>P96+P114</f>
        <v>0</v>
      </c>
      <c r="AI15" s="49"/>
      <c r="AJ15" s="50"/>
      <c r="AK15" s="50"/>
      <c r="AL15" s="51"/>
      <c r="AN15" s="30" t="s">
        <v>91</v>
      </c>
      <c r="AO15" s="30">
        <v>0</v>
      </c>
      <c r="AP15" s="30">
        <v>0</v>
      </c>
      <c r="AQ15" s="30">
        <v>0</v>
      </c>
      <c r="AR15" s="30">
        <v>0</v>
      </c>
      <c r="AS15" s="30">
        <v>0</v>
      </c>
    </row>
    <row r="16" spans="1:45" x14ac:dyDescent="0.25">
      <c r="A16" s="1" t="s">
        <v>376</v>
      </c>
      <c r="B16" s="10">
        <f>IF(ISNA(VLOOKUP(A16,Scratch!$B$1:$C$3000,2,FALSE)),0,VLOOKUP(A16,Scratch!$B$1:$C$3000,2,FALSE))</f>
        <v>0</v>
      </c>
      <c r="C16" s="2">
        <f t="shared" si="0"/>
        <v>0</v>
      </c>
      <c r="D16" s="11">
        <f>(IF($AI$2="ONY",VLOOKUP($A16,Consumables!$AN$2:$AS$100,2,FALSE),
IF($AI$2="MC",VLOOKUP($A16,Consumables!$AN$2:$AS$100,3,FALSE),
IF($AI$2="BWL",VLOOKUP($A16,Consumables!$AN$2:$AS$100,4,FALSE),
IF($AI$2="AQ40",VLOOKUP($A16,Consumables!$AN$2:$AS$100,5,FALSE),
IF($AI$2="NAXX",VLOOKUP($A16,Consumables!$AN$2:$AS$100,6,FALSE),
IF($AI$2="X",0))))))+
(IF($AI$3="ONY",VLOOKUP($A16,Consumables!$AN$2:$AS$100,2,FALSE),
IF($AI$3="MC",VLOOKUP($A16,Consumables!$AN$2:$AS$100,3,FALSE),
IF($AI$3="BWL",VLOOKUP($A16,Consumables!$AN$2:$AS$100,4,FALSE),
IF($AI$3="AQ40",VLOOKUP($A16,Consumables!$AN$2:$AS$100,5,FALSE),
IF($AI$3="NAXX",VLOOKUP($A16,Consumables!$AN$2:$AS$100,6,FALSE),
IF($AI$3="X",0)))))))+
(IF($AI$4="ONY",VLOOKUP($A16,Consumables!$AN$2:$AS$100,2,FALSE),
IF($AI$4="MC",VLOOKUP($A16,Consumables!$AN$2:$AS$100,3,FALSE),
IF($AI$4="BWL",VLOOKUP($A16,Consumables!$AN$2:$AS$100,4,FALSE),
IF($AI$4="AQ40",VLOOKUP($A16,Consumables!$AN$2:$AS$100,5,FALSE),
IF($AI$4="NAXX",VLOOKUP($A16,Consumables!$AN$2:$AS$100,6,FALSE),
IF($AI$4="X",0,0))))))))</f>
        <v>0</v>
      </c>
      <c r="E16" s="3">
        <f t="shared" si="1"/>
        <v>0</v>
      </c>
      <c r="F16" s="1" t="s">
        <v>377</v>
      </c>
      <c r="G16" s="3">
        <v>3</v>
      </c>
      <c r="H16" s="1" t="s">
        <v>368</v>
      </c>
      <c r="I16" s="3">
        <v>3</v>
      </c>
      <c r="J16" s="1" t="s">
        <v>18</v>
      </c>
      <c r="K16" s="3">
        <v>1</v>
      </c>
      <c r="M16" s="3"/>
      <c r="O16" s="1" t="s">
        <v>377</v>
      </c>
      <c r="P16" s="3">
        <f t="shared" si="2"/>
        <v>0</v>
      </c>
      <c r="Q16" s="1" t="s">
        <v>368</v>
      </c>
      <c r="R16" s="3">
        <f t="shared" si="3"/>
        <v>0</v>
      </c>
      <c r="S16" s="1" t="s">
        <v>18</v>
      </c>
      <c r="T16" s="3">
        <f t="shared" si="4"/>
        <v>0</v>
      </c>
      <c r="X16" s="1" t="s">
        <v>92</v>
      </c>
      <c r="Y16" s="10">
        <f>IF(ISNA(VLOOKUP(X16,Scratch!$B$1:$C$3000,2,FALSE)),0,VLOOKUP(X16,Scratch!$B$1:$C$3000,2,FALSE))</f>
        <v>46</v>
      </c>
      <c r="Z16" s="3">
        <f t="shared" si="5"/>
        <v>46</v>
      </c>
      <c r="AA16" s="11">
        <f>P99</f>
        <v>0</v>
      </c>
      <c r="AI16" s="49"/>
      <c r="AJ16" s="50"/>
      <c r="AK16" s="50"/>
      <c r="AL16" s="51"/>
      <c r="AN16" s="30" t="s">
        <v>415</v>
      </c>
      <c r="AO16" s="30">
        <v>0</v>
      </c>
      <c r="AP16" s="30">
        <v>0</v>
      </c>
      <c r="AQ16" s="30">
        <v>0</v>
      </c>
      <c r="AR16" s="30">
        <v>0</v>
      </c>
      <c r="AS16" s="30">
        <v>5</v>
      </c>
    </row>
    <row r="17" spans="1:45" x14ac:dyDescent="0.25">
      <c r="A17" s="1" t="s">
        <v>225</v>
      </c>
      <c r="B17" s="10">
        <f>IF(ISNA(VLOOKUP(A17,Scratch!$B$1:$C$3000,2,FALSE)),0,VLOOKUP(A17,Scratch!$B$1:$C$3000,2,FALSE))</f>
        <v>5</v>
      </c>
      <c r="C17" s="2">
        <f t="shared" si="0"/>
        <v>0</v>
      </c>
      <c r="D17" s="11">
        <f>(IF($AI$2="ONY",VLOOKUP($A17,Consumables!$AN$2:$AS$100,2,FALSE),
IF($AI$2="MC",VLOOKUP($A17,Consumables!$AN$2:$AS$100,3,FALSE),
IF($AI$2="BWL",VLOOKUP($A17,Consumables!$AN$2:$AS$100,4,FALSE),
IF($AI$2="AQ40",VLOOKUP($A17,Consumables!$AN$2:$AS$100,5,FALSE),
IF($AI$2="NAXX",VLOOKUP($A17,Consumables!$AN$2:$AS$100,6,FALSE),
IF($AI$2="X",0))))))+
(IF($AI$3="ONY",VLOOKUP($A17,Consumables!$AN$2:$AS$100,2,FALSE),
IF($AI$3="MC",VLOOKUP($A17,Consumables!$AN$2:$AS$100,3,FALSE),
IF($AI$3="BWL",VLOOKUP($A17,Consumables!$AN$2:$AS$100,4,FALSE),
IF($AI$3="AQ40",VLOOKUP($A17,Consumables!$AN$2:$AS$100,5,FALSE),
IF($AI$3="NAXX",VLOOKUP($A17,Consumables!$AN$2:$AS$100,6,FALSE),
IF($AI$3="X",0)))))))+
(IF($AI$4="ONY",VLOOKUP($A17,Consumables!$AN$2:$AS$100,2,FALSE),
IF($AI$4="MC",VLOOKUP($A17,Consumables!$AN$2:$AS$100,3,FALSE),
IF($AI$4="BWL",VLOOKUP($A17,Consumables!$AN$2:$AS$100,4,FALSE),
IF($AI$4="AQ40",VLOOKUP($A17,Consumables!$AN$2:$AS$100,5,FALSE),
IF($AI$4="NAXX",VLOOKUP($A17,Consumables!$AN$2:$AS$100,6,FALSE),
IF($AI$4="X",0,0))))))))</f>
        <v>5</v>
      </c>
      <c r="E17" s="3">
        <f t="shared" si="1"/>
        <v>0</v>
      </c>
      <c r="F17" s="1" t="s">
        <v>226</v>
      </c>
      <c r="G17" s="3">
        <v>2</v>
      </c>
      <c r="H17" s="1" t="s">
        <v>227</v>
      </c>
      <c r="I17" s="3">
        <v>1</v>
      </c>
      <c r="J17" s="1" t="s">
        <v>18</v>
      </c>
      <c r="K17" s="3">
        <v>1</v>
      </c>
      <c r="L17" s="3"/>
      <c r="M17" s="3"/>
      <c r="N17" s="3"/>
      <c r="O17" s="1" t="str">
        <f>F17</f>
        <v>blindweed</v>
      </c>
      <c r="P17" s="3">
        <f t="shared" si="2"/>
        <v>0</v>
      </c>
      <c r="Q17" s="1" t="str">
        <f>H17</f>
        <v>ghost mushroom</v>
      </c>
      <c r="R17" s="3">
        <f t="shared" si="3"/>
        <v>0</v>
      </c>
      <c r="S17" s="1" t="str">
        <f>J17</f>
        <v>crystal vial</v>
      </c>
      <c r="T17" s="3">
        <f t="shared" si="4"/>
        <v>0</v>
      </c>
      <c r="X17" s="1" t="s">
        <v>374</v>
      </c>
      <c r="Y17" s="10">
        <f>IF(ISNA(VLOOKUP(X17,Scratch!$B$1:$C$3000,2,FALSE)),0,VLOOKUP(X17,Scratch!$B$1:$C$3000,2,FALSE))</f>
        <v>0</v>
      </c>
      <c r="Z17" s="3">
        <f t="shared" si="5"/>
        <v>0</v>
      </c>
      <c r="AA17" s="11">
        <f>P24+R16+R37+P108</f>
        <v>0</v>
      </c>
      <c r="AC17" s="9" t="s">
        <v>301</v>
      </c>
      <c r="AD17" s="9"/>
      <c r="AE17" s="9"/>
      <c r="AF17" s="9"/>
      <c r="AG17" s="9"/>
      <c r="AI17" s="49"/>
      <c r="AJ17" s="50"/>
      <c r="AK17" s="50"/>
      <c r="AL17" s="51"/>
      <c r="AN17" s="30" t="s">
        <v>98</v>
      </c>
      <c r="AO17" s="30">
        <v>0</v>
      </c>
      <c r="AP17" s="30">
        <v>0</v>
      </c>
      <c r="AQ17" s="30">
        <v>0</v>
      </c>
      <c r="AR17" s="30">
        <v>0</v>
      </c>
      <c r="AS17" s="30">
        <v>0</v>
      </c>
    </row>
    <row r="18" spans="1:45" x14ac:dyDescent="0.25">
      <c r="A18" s="1" t="s">
        <v>297</v>
      </c>
      <c r="B18" s="10">
        <f>IF(ISNA(VLOOKUP(A18,Scratch!$B$1:$C$3000,2,FALSE)),0,VLOOKUP(A18,Scratch!$B$1:$C$3000,2,FALSE))</f>
        <v>4</v>
      </c>
      <c r="C18" s="2">
        <f t="shared" si="0"/>
        <v>4</v>
      </c>
      <c r="D18" s="11">
        <f>(IF($AI$2="ONY",VLOOKUP($A18,Consumables!$AN$2:$AS$100,2,FALSE),
IF($AI$2="MC",VLOOKUP($A18,Consumables!$AN$2:$AS$100,3,FALSE),
IF($AI$2="BWL",VLOOKUP($A18,Consumables!$AN$2:$AS$100,4,FALSE),
IF($AI$2="AQ40",VLOOKUP($A18,Consumables!$AN$2:$AS$100,5,FALSE),
IF($AI$2="NAXX",VLOOKUP($A18,Consumables!$AN$2:$AS$100,6,FALSE),
IF($AI$2="X",0))))))+
(IF($AI$3="ONY",VLOOKUP($A18,Consumables!$AN$2:$AS$100,2,FALSE),
IF($AI$3="MC",VLOOKUP($A18,Consumables!$AN$2:$AS$100,3,FALSE),
IF($AI$3="BWL",VLOOKUP($A18,Consumables!$AN$2:$AS$100,4,FALSE),
IF($AI$3="AQ40",VLOOKUP($A18,Consumables!$AN$2:$AS$100,5,FALSE),
IF($AI$3="NAXX",VLOOKUP($A18,Consumables!$AN$2:$AS$100,6,FALSE),
IF($AI$3="X",0)))))))+
(IF($AI$4="ONY",VLOOKUP($A18,Consumables!$AN$2:$AS$100,2,FALSE),
IF($AI$4="MC",VLOOKUP($A18,Consumables!$AN$2:$AS$100,3,FALSE),
IF($AI$4="BWL",VLOOKUP($A18,Consumables!$AN$2:$AS$100,4,FALSE),
IF($AI$4="AQ40",VLOOKUP($A18,Consumables!$AN$2:$AS$100,5,FALSE),
IF($AI$4="NAXX",VLOOKUP($A18,Consumables!$AN$2:$AS$100,6,FALSE),
IF($AI$4="X",0,0))))))))</f>
        <v>0</v>
      </c>
      <c r="E18" s="3">
        <f t="shared" si="1"/>
        <v>0</v>
      </c>
      <c r="F18" s="1" t="s">
        <v>417</v>
      </c>
      <c r="G18" s="3">
        <v>1</v>
      </c>
      <c r="H18" s="1" t="s">
        <v>418</v>
      </c>
      <c r="I18" s="3">
        <v>1</v>
      </c>
      <c r="J18" s="1" t="s">
        <v>32</v>
      </c>
      <c r="K18" s="3">
        <v>1</v>
      </c>
      <c r="M18" s="3"/>
      <c r="O18" s="1" t="s">
        <v>417</v>
      </c>
      <c r="P18" s="3">
        <f t="shared" si="2"/>
        <v>0</v>
      </c>
      <c r="Q18" s="1" t="s">
        <v>418</v>
      </c>
      <c r="R18" s="3">
        <f t="shared" si="3"/>
        <v>0</v>
      </c>
      <c r="S18" s="1" t="s">
        <v>32</v>
      </c>
      <c r="T18" s="3">
        <f t="shared" si="4"/>
        <v>0</v>
      </c>
      <c r="X18" s="1" t="s">
        <v>271</v>
      </c>
      <c r="Y18" s="10">
        <f>IF(ISNA(VLOOKUP(X18,Scratch!$B$1:$C$3000,2,FALSE)),0,VLOOKUP(X18,Scratch!$B$1:$C$3000,2,FALSE))</f>
        <v>5</v>
      </c>
      <c r="Z18" s="3">
        <f t="shared" si="5"/>
        <v>5</v>
      </c>
      <c r="AA18" s="11">
        <f>R17+P15</f>
        <v>0</v>
      </c>
      <c r="AC18" s="15" t="s">
        <v>104</v>
      </c>
      <c r="AD18" s="10">
        <f>IF(ISNA(VLOOKUP(AC18,Scratch!$B$1:$C$3000,2,FALSE)),0,VLOOKUP(AC18,Scratch!$B$1:$C$3000,2,FALSE))</f>
        <v>1</v>
      </c>
      <c r="AE18" s="2">
        <f>AD18-AF18</f>
        <v>1</v>
      </c>
      <c r="AF18" s="11">
        <f>IF((IF($AI$2="ONY",VLOOKUP($AC18,Consumables!$AN$2:$AS$100,2,FALSE),
IF($AI$2="MC",VLOOKUP($AC18,Consumables!$AN$2:$AS$100,3,FALSE),
IF($AI$2="BWL",VLOOKUP($AC18,Consumables!$AN$2:$AS$100,4,FALSE),
IF($AI$2="AQ40",VLOOKUP($AC18,Consumables!$AN$2:$AS$100,5,FALSE),
IF($AI$2="NAXX",VLOOKUP($AC18,Consumables!$AN$2:$AS$100,6,FALSE),
IF($AI$2="X",0))))))+
(IF($AI$3="ONY",VLOOKUP($AC18,Consumables!$AN$2:$AS$100,2,FALSE),
IF($AI$3="MC",VLOOKUP($AC18,Consumables!$AN$2:$AS$100,3,FALSE),
IF($AI$3="BWL",VLOOKUP($AC18,Consumables!$AN$2:$AS$100,4,FALSE),
IF($AI$3="AQ40",VLOOKUP($AC18,Consumables!$AN$2:$AS$100,5,FALSE),
IF($AI$3="NAXX",VLOOKUP($AC18,Consumables!$AN$2:$AS$100,6,FALSE),
IF($AI$3="X",0)))))))+
(IF($AI$4="ONY",VLOOKUP($AC18,Consumables!$AN$2:$AS$100,2,FALSE),
IF($AI$4="MC",VLOOKUP($AC18,Consumables!$AN$2:$AS$100,3,FALSE),
IF($AI$4="BWL",VLOOKUP($AC18,Consumables!$AN$2:$AS$100,4,FALSE),
IF($AI$4="AQ40",VLOOKUP($AC18,Consumables!$AN$2:$AS$100,5,FALSE),
IF($AI$4="NAXX",VLOOKUP($AC18,Consumables!$AN$2:$AS$100,6,FALSE),
IF($AI$4="X",0,0))))))))&gt;1,1,
(IF($AI$2="ONY",VLOOKUP($AC18,Consumables!$AN$2:$AS$100,2,FALSE),
IF($AI$2="MC",VLOOKUP($AC18,Consumables!$AN$2:$AS$100,3,FALSE),
IF($AI$2="BWL",VLOOKUP($AC18,Consumables!$AN$2:$AS$100,4,FALSE),
IF($AI$2="AQ40",VLOOKUP($AC18,Consumables!$AN$2:$AS$100,5,FALSE),
IF($AI$2="NAXX",VLOOKUP($AC18,Consumables!$AN$2:$AS$100,6,FALSE),
IF($AI$2="X",0))))))+
(IF($AI$3="ONY",VLOOKUP($AC18,Consumables!$AN$2:$AS$100,2,FALSE),
IF($AI$3="MC",VLOOKUP($AC18,Consumables!$AN$2:$AS$100,3,FALSE),
IF($AI$3="BWL",VLOOKUP($AC18,Consumables!$AN$2:$AS$100,4,FALSE),
IF($AI$3="AQ40",VLOOKUP($AC18,Consumables!$AN$2:$AS$100,5,FALSE),
IF($AI$3="NAXX",VLOOKUP($AC18,Consumables!$AN$2:$AS$100,6,FALSE),
IF($AI$3="X",0)))))))+
(IF($AI$4="ONY",VLOOKUP($AC18,Consumables!$AN$2:$AS$100,2,FALSE),
IF($AI$4="MC",VLOOKUP($AC18,Consumables!$AN$2:$AS$100,3,FALSE),
IF($AI$4="BWL",VLOOKUP($AC18,Consumables!$AN$2:$AS$100,4,FALSE),
IF($AI$4="AQ40",VLOOKUP($AC18,Consumables!$AN$2:$AS$100,5,FALSE),
IF($AI$4="NAXX",VLOOKUP($AC18,Consumables!$AN$2:$AS$100,6,FALSE),
IF($AI$4="X",0,0)))))))))</f>
        <v>0</v>
      </c>
      <c r="AG18" s="11">
        <f t="shared" ref="AG18:AG39" si="7">IF(AF18-AD18&lt;0,0,AF18-AD18)</f>
        <v>0</v>
      </c>
      <c r="AI18" s="49"/>
      <c r="AJ18" s="50"/>
      <c r="AK18" s="50"/>
      <c r="AL18" s="51"/>
      <c r="AN18" s="30" t="s">
        <v>376</v>
      </c>
      <c r="AO18" s="30">
        <v>0</v>
      </c>
      <c r="AP18" s="30">
        <v>0</v>
      </c>
      <c r="AQ18" s="30">
        <v>0</v>
      </c>
      <c r="AR18" s="30">
        <v>0</v>
      </c>
      <c r="AS18" s="30">
        <v>0</v>
      </c>
    </row>
    <row r="19" spans="1:45" x14ac:dyDescent="0.25">
      <c r="A19" s="1" t="s">
        <v>91</v>
      </c>
      <c r="B19" s="10">
        <f>IF(ISNA(VLOOKUP(A19,Scratch!$B$1:$C$3000,2,FALSE)),0,VLOOKUP(A19,Scratch!$B$1:$C$3000,2,FALSE))</f>
        <v>0</v>
      </c>
      <c r="C19" s="2">
        <f t="shared" si="0"/>
        <v>0</v>
      </c>
      <c r="D19" s="11">
        <f>(IF($AI$2="ONY",VLOOKUP($A19,Consumables!$AN$2:$AS$100,2,FALSE),
IF($AI$2="MC",VLOOKUP($A19,Consumables!$AN$2:$AS$100,3,FALSE),
IF($AI$2="BWL",VLOOKUP($A19,Consumables!$AN$2:$AS$100,4,FALSE),
IF($AI$2="AQ40",VLOOKUP($A19,Consumables!$AN$2:$AS$100,5,FALSE),
IF($AI$2="NAXX",VLOOKUP($A19,Consumables!$AN$2:$AS$100,6,FALSE),
IF($AI$2="X",0))))))+
(IF($AI$3="ONY",VLOOKUP($A19,Consumables!$AN$2:$AS$100,2,FALSE),
IF($AI$3="MC",VLOOKUP($A19,Consumables!$AN$2:$AS$100,3,FALSE),
IF($AI$3="BWL",VLOOKUP($A19,Consumables!$AN$2:$AS$100,4,FALSE),
IF($AI$3="AQ40",VLOOKUP($A19,Consumables!$AN$2:$AS$100,5,FALSE),
IF($AI$3="NAXX",VLOOKUP($A19,Consumables!$AN$2:$AS$100,6,FALSE),
IF($AI$3="X",0)))))))+
(IF($AI$4="ONY",VLOOKUP($A19,Consumables!$AN$2:$AS$100,2,FALSE),
IF($AI$4="MC",VLOOKUP($A19,Consumables!$AN$2:$AS$100,3,FALSE),
IF($AI$4="BWL",VLOOKUP($A19,Consumables!$AN$2:$AS$100,4,FALSE),
IF($AI$4="AQ40",VLOOKUP($A19,Consumables!$AN$2:$AS$100,5,FALSE),
IF($AI$4="NAXX",VLOOKUP($A19,Consumables!$AN$2:$AS$100,6,FALSE),
IF($AI$4="X",0,0))))))))</f>
        <v>0</v>
      </c>
      <c r="E19" s="3">
        <f t="shared" si="1"/>
        <v>0</v>
      </c>
      <c r="F19" s="1" t="s">
        <v>20</v>
      </c>
      <c r="G19" s="3">
        <v>1</v>
      </c>
      <c r="H19" s="1" t="s">
        <v>21</v>
      </c>
      <c r="I19" s="3">
        <v>1</v>
      </c>
      <c r="J19" s="1" t="s">
        <v>18</v>
      </c>
      <c r="K19" s="3">
        <v>1</v>
      </c>
      <c r="L19" s="3"/>
      <c r="M19" s="3"/>
      <c r="O19" s="1" t="s">
        <v>20</v>
      </c>
      <c r="P19" s="3">
        <f t="shared" si="2"/>
        <v>0</v>
      </c>
      <c r="Q19" s="1" t="s">
        <v>21</v>
      </c>
      <c r="R19" s="3">
        <f t="shared" si="3"/>
        <v>0</v>
      </c>
      <c r="S19" s="1" t="s">
        <v>18</v>
      </c>
      <c r="T19" s="3">
        <f t="shared" si="4"/>
        <v>0</v>
      </c>
      <c r="X19" s="1" t="s">
        <v>85</v>
      </c>
      <c r="Y19" s="10">
        <f>IF(ISNA(VLOOKUP(X19,Scratch!$B$1:$C$3000,2,FALSE)),0,VLOOKUP(X19,Scratch!$B$1:$C$3000,2,FALSE))</f>
        <v>169</v>
      </c>
      <c r="Z19" s="3">
        <f t="shared" si="5"/>
        <v>169</v>
      </c>
      <c r="AA19" s="11">
        <f>R12</f>
        <v>0</v>
      </c>
      <c r="AC19" s="15" t="s">
        <v>110</v>
      </c>
      <c r="AD19" s="10">
        <f>IF(ISNA(VLOOKUP(AC19,Scratch!$B$1:$C$3000,2,FALSE)),0,VLOOKUP(AC19,Scratch!$B$1:$C$3000,2,FALSE))</f>
        <v>1</v>
      </c>
      <c r="AE19" s="2">
        <f>AD19-AF19</f>
        <v>0</v>
      </c>
      <c r="AF19" s="11">
        <f>IF((IF($AI$2="ONY",VLOOKUP($AC19,Consumables!$AN$2:$AS$100,2,FALSE),
IF($AI$2="MC",VLOOKUP($AC19,Consumables!$AN$2:$AS$100,3,FALSE),
IF($AI$2="BWL",VLOOKUP($AC19,Consumables!$AN$2:$AS$100,4,FALSE),
IF($AI$2="AQ40",VLOOKUP($AC19,Consumables!$AN$2:$AS$100,5,FALSE),
IF($AI$2="NAXX",VLOOKUP($AC19,Consumables!$AN$2:$AS$100,6,FALSE),
IF($AI$2="X",0))))))+
(IF($AI$3="ONY",VLOOKUP($AC19,Consumables!$AN$2:$AS$100,2,FALSE),
IF($AI$3="MC",VLOOKUP($AC19,Consumables!$AN$2:$AS$100,3,FALSE),
IF($AI$3="BWL",VLOOKUP($AC19,Consumables!$AN$2:$AS$100,4,FALSE),
IF($AI$3="AQ40",VLOOKUP($AC19,Consumables!$AN$2:$AS$100,5,FALSE),
IF($AI$3="NAXX",VLOOKUP($AC19,Consumables!$AN$2:$AS$100,6,FALSE),
IF($AI$3="X",0)))))))+
(IF($AI$4="ONY",VLOOKUP($AC19,Consumables!$AN$2:$AS$100,2,FALSE),
IF($AI$4="MC",VLOOKUP($AC19,Consumables!$AN$2:$AS$100,3,FALSE),
IF($AI$4="BWL",VLOOKUP($AC19,Consumables!$AN$2:$AS$100,4,FALSE),
IF($AI$4="AQ40",VLOOKUP($AC19,Consumables!$AN$2:$AS$100,5,FALSE),
IF($AI$4="NAXX",VLOOKUP($AC19,Consumables!$AN$2:$AS$100,6,FALSE),
IF($AI$4="X",0,0))))))))&gt;1,1,
(IF($AI$2="ONY",VLOOKUP($AC19,Consumables!$AN$2:$AS$100,2,FALSE),
IF($AI$2="MC",VLOOKUP($AC19,Consumables!$AN$2:$AS$100,3,FALSE),
IF($AI$2="BWL",VLOOKUP($AC19,Consumables!$AN$2:$AS$100,4,FALSE),
IF($AI$2="AQ40",VLOOKUP($AC19,Consumables!$AN$2:$AS$100,5,FALSE),
IF($AI$2="NAXX",VLOOKUP($AC19,Consumables!$AN$2:$AS$100,6,FALSE),
IF($AI$2="X",0))))))+
(IF($AI$3="ONY",VLOOKUP($AC19,Consumables!$AN$2:$AS$100,2,FALSE),
IF($AI$3="MC",VLOOKUP($AC19,Consumables!$AN$2:$AS$100,3,FALSE),
IF($AI$3="BWL",VLOOKUP($AC19,Consumables!$AN$2:$AS$100,4,FALSE),
IF($AI$3="AQ40",VLOOKUP($AC19,Consumables!$AN$2:$AS$100,5,FALSE),
IF($AI$3="NAXX",VLOOKUP($AC19,Consumables!$AN$2:$AS$100,6,FALSE),
IF($AI$3="X",0)))))))+
(IF($AI$4="ONY",VLOOKUP($AC19,Consumables!$AN$2:$AS$100,2,FALSE),
IF($AI$4="MC",VLOOKUP($AC19,Consumables!$AN$2:$AS$100,3,FALSE),
IF($AI$4="BWL",VLOOKUP($AC19,Consumables!$AN$2:$AS$100,4,FALSE),
IF($AI$4="AQ40",VLOOKUP($AC19,Consumables!$AN$2:$AS$100,5,FALSE),
IF($AI$4="NAXX",VLOOKUP($AC19,Consumables!$AN$2:$AS$100,6,FALSE),
IF($AI$4="X",0,0)))))))))</f>
        <v>1</v>
      </c>
      <c r="AG19" s="11">
        <f t="shared" si="7"/>
        <v>0</v>
      </c>
      <c r="AI19" s="49"/>
      <c r="AJ19" s="50"/>
      <c r="AK19" s="50"/>
      <c r="AL19" s="51"/>
      <c r="AN19" s="30" t="s">
        <v>297</v>
      </c>
      <c r="AO19" s="30">
        <v>0</v>
      </c>
      <c r="AP19" s="30">
        <v>0</v>
      </c>
      <c r="AQ19" s="30">
        <v>0</v>
      </c>
      <c r="AR19" s="30">
        <v>0</v>
      </c>
      <c r="AS19" s="30">
        <v>0</v>
      </c>
    </row>
    <row r="20" spans="1:45" x14ac:dyDescent="0.25">
      <c r="A20" s="1" t="s">
        <v>415</v>
      </c>
      <c r="B20" s="10">
        <f>IF(ISNA(VLOOKUP(A20,Scratch!$B$1:$C$3000,2,FALSE)),0,VLOOKUP(A20,Scratch!$B$1:$C$3000,2,FALSE))</f>
        <v>8</v>
      </c>
      <c r="C20" s="2">
        <f t="shared" si="0"/>
        <v>8</v>
      </c>
      <c r="D20" s="11">
        <f>(IF($AI$2="ONY",VLOOKUP($A20,Consumables!$AN$2:$AS$100,2,FALSE),
IF($AI$2="MC",VLOOKUP($A20,Consumables!$AN$2:$AS$100,3,FALSE),
IF($AI$2="BWL",VLOOKUP($A20,Consumables!$AN$2:$AS$100,4,FALSE),
IF($AI$2="AQ40",VLOOKUP($A20,Consumables!$AN$2:$AS$100,5,FALSE),
IF($AI$2="NAXX",VLOOKUP($A20,Consumables!$AN$2:$AS$100,6,FALSE),
IF($AI$2="X",0))))))+
(IF($AI$3="ONY",VLOOKUP($A20,Consumables!$AN$2:$AS$100,2,FALSE),
IF($AI$3="MC",VLOOKUP($A20,Consumables!$AN$2:$AS$100,3,FALSE),
IF($AI$3="BWL",VLOOKUP($A20,Consumables!$AN$2:$AS$100,4,FALSE),
IF($AI$3="AQ40",VLOOKUP($A20,Consumables!$AN$2:$AS$100,5,FALSE),
IF($AI$3="NAXX",VLOOKUP($A20,Consumables!$AN$2:$AS$100,6,FALSE),
IF($AI$3="X",0)))))))+
(IF($AI$4="ONY",VLOOKUP($A20,Consumables!$AN$2:$AS$100,2,FALSE),
IF($AI$4="MC",VLOOKUP($A20,Consumables!$AN$2:$AS$100,3,FALSE),
IF($AI$4="BWL",VLOOKUP($A20,Consumables!$AN$2:$AS$100,4,FALSE),
IF($AI$4="AQ40",VLOOKUP($A20,Consumables!$AN$2:$AS$100,5,FALSE),
IF($AI$4="NAXX",VLOOKUP($A20,Consumables!$AN$2:$AS$100,6,FALSE),
IF($AI$4="X",0,0))))))))</f>
        <v>0</v>
      </c>
      <c r="E20" s="3">
        <f t="shared" si="1"/>
        <v>0</v>
      </c>
      <c r="F20" s="1" t="s">
        <v>20</v>
      </c>
      <c r="G20" s="3">
        <v>1</v>
      </c>
      <c r="H20" s="1" t="s">
        <v>25</v>
      </c>
      <c r="I20" s="3">
        <v>1</v>
      </c>
      <c r="J20" s="1" t="s">
        <v>18</v>
      </c>
      <c r="K20" s="3">
        <v>1</v>
      </c>
      <c r="M20" s="3"/>
      <c r="O20" s="1" t="s">
        <v>20</v>
      </c>
      <c r="P20" s="3">
        <f t="shared" si="2"/>
        <v>0</v>
      </c>
      <c r="Q20" s="1" t="s">
        <v>25</v>
      </c>
      <c r="R20" s="3">
        <f t="shared" si="3"/>
        <v>0</v>
      </c>
      <c r="S20" s="1" t="s">
        <v>18</v>
      </c>
      <c r="T20" s="3">
        <f t="shared" si="4"/>
        <v>0</v>
      </c>
      <c r="X20" s="1" t="s">
        <v>40</v>
      </c>
      <c r="Y20" s="10">
        <f>IF(ISNA(VLOOKUP(X20,Scratch!$B$1:$C$3000,2,FALSE)),0,VLOOKUP(X20,Scratch!$B$1:$C$3000,2,FALSE))</f>
        <v>59</v>
      </c>
      <c r="Z20" s="3">
        <f t="shared" si="5"/>
        <v>59</v>
      </c>
      <c r="AA20" s="11">
        <f>R23+R27+R25+R20+R24</f>
        <v>0</v>
      </c>
      <c r="AC20" s="15" t="s">
        <v>107</v>
      </c>
      <c r="AD20" s="10">
        <f>IF(ISNA(VLOOKUP(AC20,Scratch!$B$1:$C$3000,2,FALSE)),0,VLOOKUP(AC20,Scratch!$B$1:$C$3000,2,FALSE))</f>
        <v>1</v>
      </c>
      <c r="AE20" s="2">
        <f>AD20-AF20</f>
        <v>1</v>
      </c>
      <c r="AF20" s="11">
        <f>IF((IF($AI$2="ONY",VLOOKUP($AC20,Consumables!$AN$2:$AS$100,2,FALSE),
IF($AI$2="MC",VLOOKUP($AC20,Consumables!$AN$2:$AS$100,3,FALSE),
IF($AI$2="BWL",VLOOKUP($AC20,Consumables!$AN$2:$AS$100,4,FALSE),
IF($AI$2="AQ40",VLOOKUP($AC20,Consumables!$AN$2:$AS$100,5,FALSE),
IF($AI$2="NAXX",VLOOKUP($AC20,Consumables!$AN$2:$AS$100,6,FALSE),
IF($AI$2="X",0))))))+
(IF($AI$3="ONY",VLOOKUP($AC20,Consumables!$AN$2:$AS$100,2,FALSE),
IF($AI$3="MC",VLOOKUP($AC20,Consumables!$AN$2:$AS$100,3,FALSE),
IF($AI$3="BWL",VLOOKUP($AC20,Consumables!$AN$2:$AS$100,4,FALSE),
IF($AI$3="AQ40",VLOOKUP($AC20,Consumables!$AN$2:$AS$100,5,FALSE),
IF($AI$3="NAXX",VLOOKUP($AC20,Consumables!$AN$2:$AS$100,6,FALSE),
IF($AI$3="X",0)))))))+
(IF($AI$4="ONY",VLOOKUP($AC20,Consumables!$AN$2:$AS$100,2,FALSE),
IF($AI$4="MC",VLOOKUP($AC20,Consumables!$AN$2:$AS$100,3,FALSE),
IF($AI$4="BWL",VLOOKUP($AC20,Consumables!$AN$2:$AS$100,4,FALSE),
IF($AI$4="AQ40",VLOOKUP($AC20,Consumables!$AN$2:$AS$100,5,FALSE),
IF($AI$4="NAXX",VLOOKUP($AC20,Consumables!$AN$2:$AS$100,6,FALSE),
IF($AI$4="X",0,0))))))))&gt;1,1,
(IF($AI$2="ONY",VLOOKUP($AC20,Consumables!$AN$2:$AS$100,2,FALSE),
IF($AI$2="MC",VLOOKUP($AC20,Consumables!$AN$2:$AS$100,3,FALSE),
IF($AI$2="BWL",VLOOKUP($AC20,Consumables!$AN$2:$AS$100,4,FALSE),
IF($AI$2="AQ40",VLOOKUP($AC20,Consumables!$AN$2:$AS$100,5,FALSE),
IF($AI$2="NAXX",VLOOKUP($AC20,Consumables!$AN$2:$AS$100,6,FALSE),
IF($AI$2="X",0))))))+
(IF($AI$3="ONY",VLOOKUP($AC20,Consumables!$AN$2:$AS$100,2,FALSE),
IF($AI$3="MC",VLOOKUP($AC20,Consumables!$AN$2:$AS$100,3,FALSE),
IF($AI$3="BWL",VLOOKUP($AC20,Consumables!$AN$2:$AS$100,4,FALSE),
IF($AI$3="AQ40",VLOOKUP($AC20,Consumables!$AN$2:$AS$100,5,FALSE),
IF($AI$3="NAXX",VLOOKUP($AC20,Consumables!$AN$2:$AS$100,6,FALSE),
IF($AI$3="X",0)))))))+
(IF($AI$4="ONY",VLOOKUP($AC20,Consumables!$AN$2:$AS$100,2,FALSE),
IF($AI$4="MC",VLOOKUP($AC20,Consumables!$AN$2:$AS$100,3,FALSE),
IF($AI$4="BWL",VLOOKUP($AC20,Consumables!$AN$2:$AS$100,4,FALSE),
IF($AI$4="AQ40",VLOOKUP($AC20,Consumables!$AN$2:$AS$100,5,FALSE),
IF($AI$4="NAXX",VLOOKUP($AC20,Consumables!$AN$2:$AS$100,6,FALSE),
IF($AI$4="X",0,0)))))))))</f>
        <v>0</v>
      </c>
      <c r="AG20" s="11">
        <f t="shared" si="7"/>
        <v>0</v>
      </c>
      <c r="AI20" s="49"/>
      <c r="AJ20" s="50"/>
      <c r="AK20" s="50"/>
      <c r="AL20" s="51"/>
      <c r="AN20" s="30" t="s">
        <v>375</v>
      </c>
      <c r="AO20" s="30">
        <v>0</v>
      </c>
      <c r="AP20" s="30">
        <v>0</v>
      </c>
      <c r="AQ20" s="30">
        <v>0</v>
      </c>
      <c r="AR20" s="30">
        <v>0</v>
      </c>
      <c r="AS20" s="30">
        <v>0</v>
      </c>
    </row>
    <row r="21" spans="1:45" x14ac:dyDescent="0.25">
      <c r="A21" s="1" t="s">
        <v>218</v>
      </c>
      <c r="B21" s="10">
        <f>IF(ISNA(VLOOKUP(A21,Scratch!$B$1:$C$3000,2,FALSE)),0,VLOOKUP(A21,Scratch!$B$1:$C$3000,2,FALSE))</f>
        <v>2</v>
      </c>
      <c r="C21" s="2">
        <f t="shared" si="0"/>
        <v>2</v>
      </c>
      <c r="D21" s="11">
        <f>(IF($AI$2="ONY",VLOOKUP($A21,Consumables!$AN$2:$AS$100,2,FALSE),
IF($AI$2="MC",VLOOKUP($A21,Consumables!$AN$2:$AS$100,3,FALSE),
IF($AI$2="BWL",VLOOKUP($A21,Consumables!$AN$2:$AS$100,4,FALSE),
IF($AI$2="AQ40",VLOOKUP($A21,Consumables!$AN$2:$AS$100,5,FALSE),
IF($AI$2="NAXX",VLOOKUP($A21,Consumables!$AN$2:$AS$100,6,FALSE),
IF($AI$2="X",0))))))+
(IF($AI$3="ONY",VLOOKUP($A21,Consumables!$AN$2:$AS$100,2,FALSE),
IF($AI$3="MC",VLOOKUP($A21,Consumables!$AN$2:$AS$100,3,FALSE),
IF($AI$3="BWL",VLOOKUP($A21,Consumables!$AN$2:$AS$100,4,FALSE),
IF($AI$3="AQ40",VLOOKUP($A21,Consumables!$AN$2:$AS$100,5,FALSE),
IF($AI$3="NAXX",VLOOKUP($A21,Consumables!$AN$2:$AS$100,6,FALSE),
IF($AI$3="X",0)))))))+
(IF($AI$4="ONY",VLOOKUP($A21,Consumables!$AN$2:$AS$100,2,FALSE),
IF($AI$4="MC",VLOOKUP($A21,Consumables!$AN$2:$AS$100,3,FALSE),
IF($AI$4="BWL",VLOOKUP($A21,Consumables!$AN$2:$AS$100,4,FALSE),
IF($AI$4="AQ40",VLOOKUP($A21,Consumables!$AN$2:$AS$100,5,FALSE),
IF($AI$4="NAXX",VLOOKUP($A21,Consumables!$AN$2:$AS$100,6,FALSE),
IF($AI$4="X",0,0))))))))</f>
        <v>0</v>
      </c>
      <c r="E21" s="3">
        <f t="shared" ref="E21:E28" si="8">IF(D21-B21&lt;0,0,D21-B21)</f>
        <v>0</v>
      </c>
      <c r="F21" s="1" t="s">
        <v>413</v>
      </c>
      <c r="G21" s="3">
        <v>1</v>
      </c>
      <c r="H21" s="1" t="s">
        <v>226</v>
      </c>
      <c r="I21" s="3">
        <v>1</v>
      </c>
      <c r="J21" s="1" t="s">
        <v>18</v>
      </c>
      <c r="K21" s="3">
        <v>1</v>
      </c>
      <c r="M21" s="3"/>
      <c r="O21" s="1" t="s">
        <v>413</v>
      </c>
      <c r="P21" s="3">
        <f t="shared" si="2"/>
        <v>0</v>
      </c>
      <c r="Q21" s="1" t="s">
        <v>226</v>
      </c>
      <c r="R21" s="3">
        <f t="shared" si="3"/>
        <v>0</v>
      </c>
      <c r="S21" s="1" t="s">
        <v>18</v>
      </c>
      <c r="T21" s="3">
        <f t="shared" si="4"/>
        <v>0</v>
      </c>
      <c r="X21" s="1" t="s">
        <v>303</v>
      </c>
      <c r="Y21" s="10">
        <f>IF(ISNA(VLOOKUP(X21,Scratch!$B$1:$C$3000,2,FALSE)),0,VLOOKUP(X21,Scratch!$B$1:$C$3000,2,FALSE))</f>
        <v>1</v>
      </c>
      <c r="Z21" s="3">
        <f t="shared" si="5"/>
        <v>1</v>
      </c>
      <c r="AA21" s="11">
        <f>P100</f>
        <v>0</v>
      </c>
      <c r="AC21" s="15" t="s">
        <v>447</v>
      </c>
      <c r="AD21" s="10">
        <f>IF(ISNA(VLOOKUP(AC21,Scratch!$B$1:$C$3000,2,FALSE)),0,VLOOKUP(AC21,Scratch!$B$1:$C$3000,2,FALSE))</f>
        <v>0</v>
      </c>
      <c r="AE21" s="2">
        <f>AD21-AF21</f>
        <v>0</v>
      </c>
      <c r="AF21" s="11">
        <f>IF(AD22=1,0,IF((IF($AI$2="ONY",VLOOKUP($AC21,Consumables!$AN$2:$AS$100,2,FALSE),
IF($AI$2="MC",VLOOKUP($AC21,Consumables!$AN$2:$AS$100,3,FALSE),
IF($AI$2="BWL",VLOOKUP($AC21,Consumables!$AN$2:$AS$100,4,FALSE),
IF($AI$2="AQ40",VLOOKUP($AC21,Consumables!$AN$2:$AS$100,5,FALSE),
IF($AI$2="NAXX",VLOOKUP($AC21,Consumables!$AN$2:$AS$100,6,FALSE),
IF($AI$2="X",0))))))+
(IF($AI$3="ONY",VLOOKUP($AC21,Consumables!$AN$2:$AS$100,2,FALSE),
IF($AI$3="MC",VLOOKUP($AC21,Consumables!$AN$2:$AS$100,3,FALSE),
IF($AI$3="BWL",VLOOKUP($AC21,Consumables!$AN$2:$AS$100,4,FALSE),
IF($AI$3="AQ40",VLOOKUP($AC21,Consumables!$AN$2:$AS$100,5,FALSE),
IF($AI$3="NAXX",VLOOKUP($AC21,Consumables!$AN$2:$AS$100,6,FALSE),
IF($AI$3="X",0)))))))+
(IF($AI$4="ONY",VLOOKUP($AC21,Consumables!$AN$2:$AS$100,2,FALSE),
IF($AI$4="MC",VLOOKUP($AC21,Consumables!$AN$2:$AS$100,3,FALSE),
IF($AI$4="BWL",VLOOKUP($AC21,Consumables!$AN$2:$AS$100,4,FALSE),
IF($AI$4="AQ40",VLOOKUP($AC21,Consumables!$AN$2:$AS$100,5,FALSE),
IF($AI$4="NAXX",VLOOKUP($AC21,Consumables!$AN$2:$AS$100,6,FALSE),
IF($AI$4="X",0,0))))))))&gt;1,1,
(IF($AI$2="ONY",VLOOKUP($AC21,Consumables!$AN$2:$AS$100,2,FALSE),
IF($AI$2="MC",VLOOKUP($AC21,Consumables!$AN$2:$AS$100,3,FALSE),
IF($AI$2="BWL",VLOOKUP($AC21,Consumables!$AN$2:$AS$100,4,FALSE),
IF($AI$2="AQ40",VLOOKUP($AC21,Consumables!$AN$2:$AS$100,5,FALSE),
IF($AI$2="NAXX",VLOOKUP($AC21,Consumables!$AN$2:$AS$100,6,FALSE),
IF($AI$2="X",0))))))+
(IF($AI$3="ONY",VLOOKUP($AC21,Consumables!$AN$2:$AS$100,2,FALSE),
IF($AI$3="MC",VLOOKUP($AC21,Consumables!$AN$2:$AS$100,3,FALSE),
IF($AI$3="BWL",VLOOKUP($AC21,Consumables!$AN$2:$AS$100,4,FALSE),
IF($AI$3="AQ40",VLOOKUP($AC21,Consumables!$AN$2:$AS$100,5,FALSE),
IF($AI$3="NAXX",VLOOKUP($AC21,Consumables!$AN$2:$AS$100,6,FALSE),
IF($AI$3="X",0)))))))+
(IF($AI$4="ONY",VLOOKUP($AC21,Consumables!$AN$2:$AS$100,2,FALSE),
IF($AI$4="MC",VLOOKUP($AC21,Consumables!$AN$2:$AS$100,3,FALSE),
IF($AI$4="BWL",VLOOKUP($AC21,Consumables!$AN$2:$AS$100,4,FALSE),
IF($AI$4="AQ40",VLOOKUP($AC21,Consumables!$AN$2:$AS$100,5,FALSE),
IF($AI$4="NAXX",VLOOKUP($AC21,Consumables!$AN$2:$AS$100,6,FALSE),
IF($AI$4="X",0,0))))))))))</f>
        <v>0</v>
      </c>
      <c r="AG21" s="11">
        <f t="shared" si="7"/>
        <v>0</v>
      </c>
      <c r="AI21" s="49"/>
      <c r="AJ21" s="50"/>
      <c r="AK21" s="50"/>
      <c r="AL21" s="51"/>
      <c r="AN21" s="30" t="s">
        <v>90</v>
      </c>
      <c r="AO21" s="30">
        <v>0</v>
      </c>
      <c r="AP21" s="30">
        <v>4</v>
      </c>
      <c r="AQ21" s="30">
        <v>5</v>
      </c>
      <c r="AR21" s="30">
        <v>0</v>
      </c>
      <c r="AS21" s="30">
        <v>0</v>
      </c>
    </row>
    <row r="22" spans="1:45" x14ac:dyDescent="0.25">
      <c r="A22" s="1" t="s">
        <v>416</v>
      </c>
      <c r="B22" s="10">
        <f>IF(ISNA(VLOOKUP(A22,Scratch!$B$1:$C$3000,2,FALSE)),0,VLOOKUP(A22,Scratch!$B$1:$C$3000,2,FALSE))</f>
        <v>0</v>
      </c>
      <c r="C22" s="2">
        <f t="shared" si="0"/>
        <v>0</v>
      </c>
      <c r="D22" s="11">
        <f>(IF($AI$2="ONY",VLOOKUP($A22,Consumables!$AN$2:$AS$100,2,FALSE),
IF($AI$2="MC",VLOOKUP($A22,Consumables!$AN$2:$AS$100,3,FALSE),
IF($AI$2="BWL",VLOOKUP($A22,Consumables!$AN$2:$AS$100,4,FALSE),
IF($AI$2="AQ40",VLOOKUP($A22,Consumables!$AN$2:$AS$100,5,FALSE),
IF($AI$2="NAXX",VLOOKUP($A22,Consumables!$AN$2:$AS$100,6,FALSE),
IF($AI$2="X",0))))))+
(IF($AI$3="ONY",VLOOKUP($A22,Consumables!$AN$2:$AS$100,2,FALSE),
IF($AI$3="MC",VLOOKUP($A22,Consumables!$AN$2:$AS$100,3,FALSE),
IF($AI$3="BWL",VLOOKUP($A22,Consumables!$AN$2:$AS$100,4,FALSE),
IF($AI$3="AQ40",VLOOKUP($A22,Consumables!$AN$2:$AS$100,5,FALSE),
IF($AI$3="NAXX",VLOOKUP($A22,Consumables!$AN$2:$AS$100,6,FALSE),
IF($AI$3="X",0)))))))+
(IF($AI$4="ONY",VLOOKUP($A22,Consumables!$AN$2:$AS$100,2,FALSE),
IF($AI$4="MC",VLOOKUP($A22,Consumables!$AN$2:$AS$100,3,FALSE),
IF($AI$4="BWL",VLOOKUP($A22,Consumables!$AN$2:$AS$100,4,FALSE),
IF($AI$4="AQ40",VLOOKUP($A22,Consumables!$AN$2:$AS$100,5,FALSE),
IF($AI$4="NAXX",VLOOKUP($A22,Consumables!$AN$2:$AS$100,6,FALSE),
IF($AI$4="X",0,0))))))))</f>
        <v>0</v>
      </c>
      <c r="E22" s="3">
        <f t="shared" si="8"/>
        <v>0</v>
      </c>
      <c r="F22" s="1" t="s">
        <v>420</v>
      </c>
      <c r="G22" s="3">
        <v>1</v>
      </c>
      <c r="H22" s="1" t="s">
        <v>366</v>
      </c>
      <c r="I22" s="3">
        <v>1</v>
      </c>
      <c r="J22" s="1" t="s">
        <v>18</v>
      </c>
      <c r="K22" s="3">
        <v>1</v>
      </c>
      <c r="M22" s="3"/>
      <c r="O22" s="1" t="s">
        <v>420</v>
      </c>
      <c r="P22" s="3">
        <f t="shared" si="2"/>
        <v>0</v>
      </c>
      <c r="Q22" s="1" t="s">
        <v>366</v>
      </c>
      <c r="R22" s="3">
        <f t="shared" si="3"/>
        <v>0</v>
      </c>
      <c r="S22" s="1" t="s">
        <v>18</v>
      </c>
      <c r="T22" s="3">
        <f t="shared" si="4"/>
        <v>0</v>
      </c>
      <c r="X22" s="1" t="s">
        <v>274</v>
      </c>
      <c r="Y22" s="10">
        <f>IF(ISNA(VLOOKUP(X22,Scratch!$B$1:$C$3000,2,FALSE)),0,VLOOKUP(X22,Scratch!$B$1:$C$3000,2,FALSE))</f>
        <v>15</v>
      </c>
      <c r="Z22" s="3">
        <f t="shared" si="5"/>
        <v>15</v>
      </c>
      <c r="AA22" s="11">
        <f>R19+P8+R49+P29</f>
        <v>0</v>
      </c>
      <c r="AC22" s="15" t="s">
        <v>336</v>
      </c>
      <c r="AD22" s="10">
        <f>IF(ISNA(VLOOKUP(AC22,Scratch!$B$1:$C$3000,2,FALSE)),0,VLOOKUP(AC22,Scratch!$B$1:$C$3000,2,FALSE))</f>
        <v>1</v>
      </c>
      <c r="AE22" s="2">
        <f>AD22-AF22</f>
        <v>1</v>
      </c>
      <c r="AF22" s="11">
        <f>IF(AD21=1,0,IF((IF($AI$2="ONY",VLOOKUP($AC22,Consumables!$AN$2:$AS$100,2,FALSE),
IF($AI$2="MC",VLOOKUP($AC22,Consumables!$AN$2:$AS$100,3,FALSE),
IF($AI$2="BWL",VLOOKUP($AC22,Consumables!$AN$2:$AS$100,4,FALSE),
IF($AI$2="AQ40",VLOOKUP($AC22,Consumables!$AN$2:$AS$100,5,FALSE),
IF($AI$2="NAXX",VLOOKUP($AC22,Consumables!$AN$2:$AS$100,6,FALSE),
IF($AI$2="X",0))))))+
(IF($AI$3="ONY",VLOOKUP($AC22,Consumables!$AN$2:$AS$100,2,FALSE),
IF($AI$3="MC",VLOOKUP($AC22,Consumables!$AN$2:$AS$100,3,FALSE),
IF($AI$3="BWL",VLOOKUP($AC22,Consumables!$AN$2:$AS$100,4,FALSE),
IF($AI$3="AQ40",VLOOKUP($AC22,Consumables!$AN$2:$AS$100,5,FALSE),
IF($AI$3="NAXX",VLOOKUP($AC22,Consumables!$AN$2:$AS$100,6,FALSE),
IF($AI$3="X",0)))))))+
(IF($AI$4="ONY",VLOOKUP($AC22,Consumables!$AN$2:$AS$100,2,FALSE),
IF($AI$4="MC",VLOOKUP($AC22,Consumables!$AN$2:$AS$100,3,FALSE),
IF($AI$4="BWL",VLOOKUP($AC22,Consumables!$AN$2:$AS$100,4,FALSE),
IF($AI$4="AQ40",VLOOKUP($AC22,Consumables!$AN$2:$AS$100,5,FALSE),
IF($AI$4="NAXX",VLOOKUP($AC22,Consumables!$AN$2:$AS$100,6,FALSE),
IF($AI$4="X",0,0))))))))&gt;1,1,
(IF($AI$2="ONY",VLOOKUP($AC22,Consumables!$AN$2:$AS$100,2,FALSE),
IF($AI$2="MC",VLOOKUP($AC22,Consumables!$AN$2:$AS$100,3,FALSE),
IF($AI$2="BWL",VLOOKUP($AC22,Consumables!$AN$2:$AS$100,4,FALSE),
IF($AI$2="AQ40",VLOOKUP($AC22,Consumables!$AN$2:$AS$100,5,FALSE),
IF($AI$2="NAXX",VLOOKUP($AC22,Consumables!$AN$2:$AS$100,6,FALSE),
IF($AI$2="X",0))))))+
(IF($AI$3="ONY",VLOOKUP($AC22,Consumables!$AN$2:$AS$100,2,FALSE),
IF($AI$3="MC",VLOOKUP($AC22,Consumables!$AN$2:$AS$100,3,FALSE),
IF($AI$3="BWL",VLOOKUP($AC22,Consumables!$AN$2:$AS$100,4,FALSE),
IF($AI$3="AQ40",VLOOKUP($AC22,Consumables!$AN$2:$AS$100,5,FALSE),
IF($AI$3="NAXX",VLOOKUP($AC22,Consumables!$AN$2:$AS$100,6,FALSE),
IF($AI$3="X",0)))))))+
(IF($AI$4="ONY",VLOOKUP($AC22,Consumables!$AN$2:$AS$100,2,FALSE),
IF($AI$4="MC",VLOOKUP($AC22,Consumables!$AN$2:$AS$100,3,FALSE),
IF($AI$4="BWL",VLOOKUP($AC22,Consumables!$AN$2:$AS$100,4,FALSE),
IF($AI$4="AQ40",VLOOKUP($AC22,Consumables!$AN$2:$AS$100,5,FALSE),
IF($AI$4="NAXX",VLOOKUP($AC22,Consumables!$AN$2:$AS$100,6,FALSE),
IF($AI$4="X",0,0))))))))))</f>
        <v>0</v>
      </c>
      <c r="AG22" s="11">
        <f t="shared" si="7"/>
        <v>0</v>
      </c>
      <c r="AI22" s="49"/>
      <c r="AJ22" s="50"/>
      <c r="AK22" s="50"/>
      <c r="AL22" s="51"/>
      <c r="AN22" s="30" t="s">
        <v>83</v>
      </c>
      <c r="AO22" s="30">
        <v>0</v>
      </c>
      <c r="AP22" s="30">
        <v>4</v>
      </c>
      <c r="AQ22" s="30">
        <v>5</v>
      </c>
      <c r="AR22" s="30">
        <v>10</v>
      </c>
      <c r="AS22" s="30">
        <v>10</v>
      </c>
    </row>
    <row r="23" spans="1:45" x14ac:dyDescent="0.25">
      <c r="A23" s="1" t="s">
        <v>82</v>
      </c>
      <c r="B23" s="10">
        <f>IF(ISNA(VLOOKUP(A23,Scratch!$B$1:$C$3000,2,FALSE)),0,VLOOKUP(A23,Scratch!$B$1:$C$3000,2,FALSE))</f>
        <v>0</v>
      </c>
      <c r="C23" s="2">
        <f t="shared" si="0"/>
        <v>0</v>
      </c>
      <c r="D23" s="11">
        <f>(IF($AI$2="ONY",VLOOKUP($A23,Consumables!$AN$2:$AS$100,2,FALSE),
IF($AI$2="MC",VLOOKUP($A23,Consumables!$AN$2:$AS$100,3,FALSE),
IF($AI$2="BWL",VLOOKUP($A23,Consumables!$AN$2:$AS$100,4,FALSE),
IF($AI$2="AQ40",VLOOKUP($A23,Consumables!$AN$2:$AS$100,5,FALSE),
IF($AI$2="NAXX",VLOOKUP($A23,Consumables!$AN$2:$AS$100,6,FALSE),
IF($AI$2="X",0))))))+
(IF($AI$3="ONY",VLOOKUP($A23,Consumables!$AN$2:$AS$100,2,FALSE),
IF($AI$3="MC",VLOOKUP($A23,Consumables!$AN$2:$AS$100,3,FALSE),
IF($AI$3="BWL",VLOOKUP($A23,Consumables!$AN$2:$AS$100,4,FALSE),
IF($AI$3="AQ40",VLOOKUP($A23,Consumables!$AN$2:$AS$100,5,FALSE),
IF($AI$3="NAXX",VLOOKUP($A23,Consumables!$AN$2:$AS$100,6,FALSE),
IF($AI$3="X",0)))))))+
(IF($AI$4="ONY",VLOOKUP($A23,Consumables!$AN$2:$AS$100,2,FALSE),
IF($AI$4="MC",VLOOKUP($A23,Consumables!$AN$2:$AS$100,3,FALSE),
IF($AI$4="BWL",VLOOKUP($A23,Consumables!$AN$2:$AS$100,4,FALSE),
IF($AI$4="AQ40",VLOOKUP($A23,Consumables!$AN$2:$AS$100,5,FALSE),
IF($AI$4="NAXX",VLOOKUP($A23,Consumables!$AN$2:$AS$100,6,FALSE),
IF($AI$4="X",0,0))))))))</f>
        <v>0</v>
      </c>
      <c r="E23" s="3">
        <f t="shared" si="8"/>
        <v>0</v>
      </c>
      <c r="F23" s="1" t="s">
        <v>24</v>
      </c>
      <c r="G23" s="3">
        <v>1</v>
      </c>
      <c r="H23" s="1" t="s">
        <v>25</v>
      </c>
      <c r="I23" s="3">
        <v>1</v>
      </c>
      <c r="J23" s="1" t="s">
        <v>18</v>
      </c>
      <c r="K23" s="3">
        <v>1</v>
      </c>
      <c r="L23" s="3"/>
      <c r="M23" s="3"/>
      <c r="O23" s="1" t="s">
        <v>24</v>
      </c>
      <c r="P23" s="3">
        <f t="shared" si="2"/>
        <v>0</v>
      </c>
      <c r="Q23" s="1" t="s">
        <v>25</v>
      </c>
      <c r="R23" s="3">
        <f t="shared" si="3"/>
        <v>0</v>
      </c>
      <c r="S23" s="1" t="s">
        <v>18</v>
      </c>
      <c r="T23" s="3">
        <f t="shared" si="4"/>
        <v>0</v>
      </c>
      <c r="X23" s="1" t="s">
        <v>387</v>
      </c>
      <c r="Y23" s="10">
        <f>IF(ISNA(VLOOKUP(X23,Scratch!$B$1:$C$3000,2,FALSE)),0,VLOOKUP(X23,Scratch!$B$1:$C$3000,2,FALSE))</f>
        <v>0</v>
      </c>
      <c r="Z23" s="3">
        <f t="shared" si="5"/>
        <v>0</v>
      </c>
      <c r="AA23" s="11">
        <f>V30</f>
        <v>0</v>
      </c>
      <c r="AC23" s="15" t="s">
        <v>272</v>
      </c>
      <c r="AD23" s="10">
        <f>IF(ISNA(VLOOKUP(AC23,Scratch!$B$1:$C$3000,2,FALSE)),0,VLOOKUP(AC23,Scratch!$B$1:$C$3000,2,FALSE))</f>
        <v>7</v>
      </c>
      <c r="AE23" s="2">
        <f t="shared" ref="AE23:AE39" si="9">AD23-AF23</f>
        <v>7</v>
      </c>
      <c r="AF23" s="11">
        <f>(IF($AI$2="ONY",VLOOKUP($AC23,Consumables!$AN$2:$AS$100,2,FALSE),
IF($AI$2="MC",VLOOKUP($AC23,Consumables!$AN$2:$AS$100,3,FALSE),
IF($AI$2="BWL",VLOOKUP($AC23,Consumables!$AN$2:$AS$100,4,FALSE),
IF($AI$2="AQ40",VLOOKUP($AC23,Consumables!$AN$2:$AS$100,5,FALSE),
IF($AI$2="NAXX",VLOOKUP($AC23,Consumables!$AN$2:$AS$100,6,FALSE),
IF($AI$2="X",0))))))+
(IF($AI$3="ONY",VLOOKUP($AC23,Consumables!$AN$2:$AS$100,2,FALSE),
IF($AI$3="MC",VLOOKUP($AC23,Consumables!$AN$2:$AS$100,3,FALSE),
IF($AI$3="BWL",VLOOKUP($AC23,Consumables!$AN$2:$AS$100,4,FALSE),
IF($AI$3="AQ40",VLOOKUP($AC23,Consumables!$AN$2:$AS$100,5,FALSE),
IF($AI$3="NAXX",VLOOKUP($AC23,Consumables!$AN$2:$AS$100,6,FALSE),
IF($AI$3="X",0)))))))+
(IF($AI$4="ONY",VLOOKUP($AC23,Consumables!$AN$2:$AS$100,2,FALSE),
IF($AI$4="MC",VLOOKUP($AC23,Consumables!$AN$2:$AS$100,3,FALSE),
IF($AI$4="BWL",VLOOKUP($AC23,Consumables!$AN$2:$AS$100,4,FALSE),
IF($AI$4="AQ40",VLOOKUP($AC23,Consumables!$AN$2:$AS$100,5,FALSE),
IF($AI$4="NAXX",VLOOKUP($AC23,Consumables!$AN$2:$AS$100,6,FALSE),
IF($AI$4="X",0,0))))))))</f>
        <v>0</v>
      </c>
      <c r="AG23" s="11">
        <f t="shared" si="7"/>
        <v>0</v>
      </c>
      <c r="AI23" s="49"/>
      <c r="AJ23" s="50"/>
      <c r="AK23" s="50"/>
      <c r="AL23" s="51"/>
      <c r="AN23" s="30" t="s">
        <v>336</v>
      </c>
      <c r="AO23" s="30">
        <v>0</v>
      </c>
      <c r="AP23" s="30">
        <v>1</v>
      </c>
      <c r="AQ23" s="30">
        <v>0</v>
      </c>
      <c r="AR23" s="30">
        <v>0</v>
      </c>
      <c r="AS23" s="30">
        <v>0</v>
      </c>
    </row>
    <row r="24" spans="1:45" x14ac:dyDescent="0.25">
      <c r="A24" s="1" t="s">
        <v>299</v>
      </c>
      <c r="B24" s="10">
        <f>IF(ISNA(VLOOKUP(A24,Scratch!$B$1:$C$3000,2,FALSE)),0,VLOOKUP(A24,Scratch!$B$1:$C$3000,2,FALSE))</f>
        <v>4</v>
      </c>
      <c r="C24" s="2">
        <f t="shared" si="0"/>
        <v>4</v>
      </c>
      <c r="D24" s="11">
        <f>(IF($AI$2="ONY",VLOOKUP($A24,Consumables!$AN$2:$AS$100,2,FALSE),
IF($AI$2="MC",VLOOKUP($A24,Consumables!$AN$2:$AS$100,3,FALSE),
IF($AI$2="BWL",VLOOKUP($A24,Consumables!$AN$2:$AS$100,4,FALSE),
IF($AI$2="AQ40",VLOOKUP($A24,Consumables!$AN$2:$AS$100,5,FALSE),
IF($AI$2="NAXX",VLOOKUP($A24,Consumables!$AN$2:$AS$100,6,FALSE),
IF($AI$2="X",0))))))+
(IF($AI$3="ONY",VLOOKUP($A24,Consumables!$AN$2:$AS$100,2,FALSE),
IF($AI$3="MC",VLOOKUP($A24,Consumables!$AN$2:$AS$100,3,FALSE),
IF($AI$3="BWL",VLOOKUP($A24,Consumables!$AN$2:$AS$100,4,FALSE),
IF($AI$3="AQ40",VLOOKUP($A24,Consumables!$AN$2:$AS$100,5,FALSE),
IF($AI$3="NAXX",VLOOKUP($A24,Consumables!$AN$2:$AS$100,6,FALSE),
IF($AI$3="X",0)))))))+
(IF($AI$4="ONY",VLOOKUP($A24,Consumables!$AN$2:$AS$100,2,FALSE),
IF($AI$4="MC",VLOOKUP($A24,Consumables!$AN$2:$AS$100,3,FALSE),
IF($AI$4="BWL",VLOOKUP($A24,Consumables!$AN$2:$AS$100,4,FALSE),
IF($AI$4="AQ40",VLOOKUP($A24,Consumables!$AN$2:$AS$100,5,FALSE),
IF($AI$4="NAXX",VLOOKUP($A24,Consumables!$AN$2:$AS$100,6,FALSE),
IF($AI$4="X",0,0))))))))</f>
        <v>0</v>
      </c>
      <c r="E24" s="3">
        <f t="shared" si="8"/>
        <v>0</v>
      </c>
      <c r="F24" s="1" t="s">
        <v>368</v>
      </c>
      <c r="G24" s="3">
        <v>1</v>
      </c>
      <c r="H24" s="1" t="s">
        <v>25</v>
      </c>
      <c r="I24" s="3">
        <v>1</v>
      </c>
      <c r="J24" s="1" t="s">
        <v>18</v>
      </c>
      <c r="K24" s="3">
        <v>1</v>
      </c>
      <c r="M24" s="3"/>
      <c r="O24" s="1" t="s">
        <v>368</v>
      </c>
      <c r="P24" s="3">
        <f t="shared" si="2"/>
        <v>0</v>
      </c>
      <c r="Q24" s="1" t="s">
        <v>25</v>
      </c>
      <c r="R24" s="3">
        <f t="shared" si="3"/>
        <v>0</v>
      </c>
      <c r="S24" s="1" t="s">
        <v>18</v>
      </c>
      <c r="T24" s="3">
        <f t="shared" si="4"/>
        <v>0</v>
      </c>
      <c r="X24" s="1" t="s">
        <v>384</v>
      </c>
      <c r="Y24" s="10">
        <f>IF(ISNA(VLOOKUP(X24,Scratch!$B$1:$C$3000,2,FALSE)),0,VLOOKUP(X24,Scratch!$B$1:$C$3000,2,FALSE))</f>
        <v>4</v>
      </c>
      <c r="Z24" s="3">
        <f t="shared" si="5"/>
        <v>4</v>
      </c>
      <c r="AA24" s="11">
        <f>P2+P48</f>
        <v>0</v>
      </c>
      <c r="AC24" s="15" t="s">
        <v>220</v>
      </c>
      <c r="AD24" s="10">
        <f>IF(ISNA(VLOOKUP(AC24,Scratch!$B$1:$C$3000,2,FALSE)),0,VLOOKUP(AC24,Scratch!$B$1:$C$3000,2,FALSE))</f>
        <v>8</v>
      </c>
      <c r="AE24" s="2">
        <f t="shared" si="9"/>
        <v>3</v>
      </c>
      <c r="AF24" s="11">
        <f>(IF($AI$2="ONY",VLOOKUP($AC24,Consumables!$AN$2:$AS$100,2,FALSE),
IF($AI$2="MC",VLOOKUP($AC24,Consumables!$AN$2:$AS$100,3,FALSE),
IF($AI$2="BWL",VLOOKUP($AC24,Consumables!$AN$2:$AS$100,4,FALSE),
IF($AI$2="AQ40",VLOOKUP($AC24,Consumables!$AN$2:$AS$100,5,FALSE),
IF($AI$2="NAXX",VLOOKUP($AC24,Consumables!$AN$2:$AS$100,6,FALSE),
IF($AI$2="X",0))))))+
(IF($AI$3="ONY",VLOOKUP($AC24,Consumables!$AN$2:$AS$100,2,FALSE),
IF($AI$3="MC",VLOOKUP($AC24,Consumables!$AN$2:$AS$100,3,FALSE),
IF($AI$3="BWL",VLOOKUP($AC24,Consumables!$AN$2:$AS$100,4,FALSE),
IF($AI$3="AQ40",VLOOKUP($AC24,Consumables!$AN$2:$AS$100,5,FALSE),
IF($AI$3="NAXX",VLOOKUP($AC24,Consumables!$AN$2:$AS$100,6,FALSE),
IF($AI$3="X",0)))))))+
(IF($AI$4="ONY",VLOOKUP($AC24,Consumables!$AN$2:$AS$100,2,FALSE),
IF($AI$4="MC",VLOOKUP($AC24,Consumables!$AN$2:$AS$100,3,FALSE),
IF($AI$4="BWL",VLOOKUP($AC24,Consumables!$AN$2:$AS$100,4,FALSE),
IF($AI$4="AQ40",VLOOKUP($AC24,Consumables!$AN$2:$AS$100,5,FALSE),
IF($AI$4="NAXX",VLOOKUP($AC24,Consumables!$AN$2:$AS$100,6,FALSE),
IF($AI$4="X",0,0))))))))</f>
        <v>5</v>
      </c>
      <c r="AG24" s="11">
        <f t="shared" si="7"/>
        <v>0</v>
      </c>
      <c r="AI24" s="49"/>
      <c r="AJ24" s="50"/>
      <c r="AK24" s="50"/>
      <c r="AL24" s="51"/>
      <c r="AN24" s="30" t="s">
        <v>156</v>
      </c>
      <c r="AO24" s="30">
        <v>0</v>
      </c>
      <c r="AP24" s="30">
        <v>0</v>
      </c>
      <c r="AQ24" s="30">
        <v>0</v>
      </c>
      <c r="AR24" s="30">
        <v>0</v>
      </c>
      <c r="AS24" s="30">
        <v>0</v>
      </c>
    </row>
    <row r="25" spans="1:45" x14ac:dyDescent="0.25">
      <c r="A25" s="1" t="s">
        <v>98</v>
      </c>
      <c r="B25" s="10">
        <f>IF(ISNA(VLOOKUP(A25,Scratch!$B$1:$C$3000,2,FALSE)),0,VLOOKUP(A25,Scratch!$B$1:$C$3000,2,FALSE))</f>
        <v>1</v>
      </c>
      <c r="C25" s="2">
        <f t="shared" si="0"/>
        <v>1</v>
      </c>
      <c r="D25" s="11">
        <f>(IF($AI$2="ONY",VLOOKUP($A25,Consumables!$AN$2:$AS$100,2,FALSE),
IF($AI$2="MC",VLOOKUP($A25,Consumables!$AN$2:$AS$100,3,FALSE),
IF($AI$2="BWL",VLOOKUP($A25,Consumables!$AN$2:$AS$100,4,FALSE),
IF($AI$2="AQ40",VLOOKUP($A25,Consumables!$AN$2:$AS$100,5,FALSE),
IF($AI$2="NAXX",VLOOKUP($A25,Consumables!$AN$2:$AS$100,6,FALSE),
IF($AI$2="X",0))))))+
(IF($AI$3="ONY",VLOOKUP($A25,Consumables!$AN$2:$AS$100,2,FALSE),
IF($AI$3="MC",VLOOKUP($A25,Consumables!$AN$2:$AS$100,3,FALSE),
IF($AI$3="BWL",VLOOKUP($A25,Consumables!$AN$2:$AS$100,4,FALSE),
IF($AI$3="AQ40",VLOOKUP($A25,Consumables!$AN$2:$AS$100,5,FALSE),
IF($AI$3="NAXX",VLOOKUP($A25,Consumables!$AN$2:$AS$100,6,FALSE),
IF($AI$3="X",0)))))))+
(IF($AI$4="ONY",VLOOKUP($A25,Consumables!$AN$2:$AS$100,2,FALSE),
IF($AI$4="MC",VLOOKUP($A25,Consumables!$AN$2:$AS$100,3,FALSE),
IF($AI$4="BWL",VLOOKUP($A25,Consumables!$AN$2:$AS$100,4,FALSE),
IF($AI$4="AQ40",VLOOKUP($A25,Consumables!$AN$2:$AS$100,5,FALSE),
IF($AI$4="NAXX",VLOOKUP($A25,Consumables!$AN$2:$AS$100,6,FALSE),
IF($AI$4="X",0,0))))))))</f>
        <v>0</v>
      </c>
      <c r="E25" s="3">
        <f t="shared" si="8"/>
        <v>0</v>
      </c>
      <c r="F25" s="1" t="s">
        <v>26</v>
      </c>
      <c r="G25" s="3">
        <v>1</v>
      </c>
      <c r="H25" s="1" t="s">
        <v>25</v>
      </c>
      <c r="I25" s="3">
        <v>1</v>
      </c>
      <c r="J25" s="1" t="s">
        <v>32</v>
      </c>
      <c r="K25" s="3">
        <v>1</v>
      </c>
      <c r="L25" s="3"/>
      <c r="M25" s="3"/>
      <c r="O25" s="1" t="s">
        <v>26</v>
      </c>
      <c r="P25" s="3">
        <f t="shared" si="2"/>
        <v>0</v>
      </c>
      <c r="Q25" s="1" t="s">
        <v>25</v>
      </c>
      <c r="R25" s="3">
        <f t="shared" si="3"/>
        <v>0</v>
      </c>
      <c r="S25" s="1" t="s">
        <v>32</v>
      </c>
      <c r="T25" s="3">
        <f t="shared" si="4"/>
        <v>0</v>
      </c>
      <c r="X25" s="1" t="s">
        <v>205</v>
      </c>
      <c r="Y25" s="10">
        <f>IF(ISNA(VLOOKUP(X25,Scratch!$B$1:$C$3000,2,FALSE)),0,VLOOKUP(X25,Scratch!$B$1:$C$3000,2,FALSE))</f>
        <v>42</v>
      </c>
      <c r="Z25" s="3">
        <f t="shared" si="5"/>
        <v>42</v>
      </c>
      <c r="AA25" s="11">
        <f>P22</f>
        <v>0</v>
      </c>
      <c r="AC25" s="15" t="s">
        <v>253</v>
      </c>
      <c r="AD25" s="10">
        <f>IF(ISNA(VLOOKUP(AC25,Scratch!$B$1:$C$3000,2,FALSE)),0,VLOOKUP(AC25,Scratch!$B$1:$C$3000,2,FALSE))</f>
        <v>7</v>
      </c>
      <c r="AE25" s="2">
        <f t="shared" si="9"/>
        <v>7</v>
      </c>
      <c r="AF25" s="11">
        <f>(IF($AI$2="ONY",VLOOKUP($AC25,Consumables!$AN$2:$AS$100,2,FALSE),
IF($AI$2="MC",VLOOKUP($AC25,Consumables!$AN$2:$AS$100,3,FALSE),
IF($AI$2="BWL",VLOOKUP($AC25,Consumables!$AN$2:$AS$100,4,FALSE),
IF($AI$2="AQ40",VLOOKUP($AC25,Consumables!$AN$2:$AS$100,5,FALSE),
IF($AI$2="NAXX",VLOOKUP($AC25,Consumables!$AN$2:$AS$100,6,FALSE),
IF($AI$2="X",0))))))+
(IF($AI$3="ONY",VLOOKUP($AC25,Consumables!$AN$2:$AS$100,2,FALSE),
IF($AI$3="MC",VLOOKUP($AC25,Consumables!$AN$2:$AS$100,3,FALSE),
IF($AI$3="BWL",VLOOKUP($AC25,Consumables!$AN$2:$AS$100,4,FALSE),
IF($AI$3="AQ40",VLOOKUP($AC25,Consumables!$AN$2:$AS$100,5,FALSE),
IF($AI$3="NAXX",VLOOKUP($AC25,Consumables!$AN$2:$AS$100,6,FALSE),
IF($AI$3="X",0)))))))+
(IF($AI$4="ONY",VLOOKUP($AC25,Consumables!$AN$2:$AS$100,2,FALSE),
IF($AI$4="MC",VLOOKUP($AC25,Consumables!$AN$2:$AS$100,3,FALSE),
IF($AI$4="BWL",VLOOKUP($AC25,Consumables!$AN$2:$AS$100,4,FALSE),
IF($AI$4="AQ40",VLOOKUP($AC25,Consumables!$AN$2:$AS$100,5,FALSE),
IF($AI$4="NAXX",VLOOKUP($AC25,Consumables!$AN$2:$AS$100,6,FALSE),
IF($AI$4="X",0,0))))))))</f>
        <v>0</v>
      </c>
      <c r="AG25" s="11">
        <f t="shared" si="7"/>
        <v>0</v>
      </c>
      <c r="AI25" s="49"/>
      <c r="AJ25" s="50"/>
      <c r="AK25" s="50"/>
      <c r="AL25" s="51"/>
      <c r="AN25" s="30" t="s">
        <v>358</v>
      </c>
      <c r="AO25" s="30">
        <v>0</v>
      </c>
      <c r="AP25" s="30">
        <v>0</v>
      </c>
      <c r="AQ25" s="30">
        <v>0</v>
      </c>
      <c r="AR25" s="30">
        <v>0</v>
      </c>
      <c r="AS25" s="30">
        <v>0</v>
      </c>
    </row>
    <row r="26" spans="1:45" x14ac:dyDescent="0.25">
      <c r="A26" s="1" t="s">
        <v>71</v>
      </c>
      <c r="B26" s="10">
        <f>IF(ISNA(VLOOKUP(A26,Scratch!$B$1:$C$3000,2,FALSE)),0,VLOOKUP(A26,Scratch!$B$1:$C$3000,2,FALSE))</f>
        <v>11</v>
      </c>
      <c r="C26" s="2">
        <f t="shared" si="0"/>
        <v>1</v>
      </c>
      <c r="D26" s="11">
        <f>(IF($AI$2="ONY",VLOOKUP($A26,Consumables!$AN$2:$AS$100,2,FALSE),
IF($AI$2="MC",VLOOKUP($A26,Consumables!$AN$2:$AS$100,3,FALSE),
IF($AI$2="BWL",VLOOKUP($A26,Consumables!$AN$2:$AS$100,4,FALSE),
IF($AI$2="AQ40",VLOOKUP($A26,Consumables!$AN$2:$AS$100,5,FALSE),
IF($AI$2="NAXX",VLOOKUP($A26,Consumables!$AN$2:$AS$100,6,FALSE),
IF($AI$2="X",0))))))+
(IF($AI$3="ONY",VLOOKUP($A26,Consumables!$AN$2:$AS$100,2,FALSE),
IF($AI$3="MC",VLOOKUP($A26,Consumables!$AN$2:$AS$100,3,FALSE),
IF($AI$3="BWL",VLOOKUP($A26,Consumables!$AN$2:$AS$100,4,FALSE),
IF($AI$3="AQ40",VLOOKUP($A26,Consumables!$AN$2:$AS$100,5,FALSE),
IF($AI$3="NAXX",VLOOKUP($A26,Consumables!$AN$2:$AS$100,6,FALSE),
IF($AI$3="X",0)))))))+
(IF($AI$4="ONY",VLOOKUP($A26,Consumables!$AN$2:$AS$100,2,FALSE),
IF($AI$4="MC",VLOOKUP($A26,Consumables!$AN$2:$AS$100,3,FALSE),
IF($AI$4="BWL",VLOOKUP($A26,Consumables!$AN$2:$AS$100,4,FALSE),
IF($AI$4="AQ40",VLOOKUP($A26,Consumables!$AN$2:$AS$100,5,FALSE),
IF($AI$4="NAXX",VLOOKUP($A26,Consumables!$AN$2:$AS$100,6,FALSE),
IF($AI$4="X",0,0))))))))</f>
        <v>10</v>
      </c>
      <c r="E26" s="3">
        <f t="shared" si="8"/>
        <v>0</v>
      </c>
      <c r="F26" s="1" t="s">
        <v>267</v>
      </c>
      <c r="G26" s="3">
        <v>1</v>
      </c>
      <c r="H26" s="1" t="s">
        <v>23</v>
      </c>
      <c r="I26" s="3">
        <v>1</v>
      </c>
      <c r="J26" s="1" t="s">
        <v>32</v>
      </c>
      <c r="K26" s="3">
        <v>1</v>
      </c>
      <c r="L26" s="3"/>
      <c r="M26" s="3"/>
      <c r="O26" s="1" t="str">
        <f>F26</f>
        <v>liferoot</v>
      </c>
      <c r="P26" s="3">
        <f t="shared" si="2"/>
        <v>0</v>
      </c>
      <c r="Q26" s="1" t="str">
        <f>H26</f>
        <v>stranglekelp</v>
      </c>
      <c r="R26" s="3">
        <f t="shared" si="3"/>
        <v>0</v>
      </c>
      <c r="S26" s="1" t="str">
        <f>J26</f>
        <v>leaded vial</v>
      </c>
      <c r="T26" s="3">
        <f t="shared" si="4"/>
        <v>0</v>
      </c>
      <c r="V26" s="3"/>
      <c r="X26" s="1" t="s">
        <v>388</v>
      </c>
      <c r="Y26" s="10">
        <f>IF(ISNA(VLOOKUP(X26,Scratch!$B$1:$C$3000,2,FALSE)),0,VLOOKUP(X26,Scratch!$B$1:$C$3000,2,FALSE))</f>
        <v>0</v>
      </c>
      <c r="Z26" s="3">
        <f t="shared" si="5"/>
        <v>0</v>
      </c>
      <c r="AA26" s="11">
        <f>P36+P37</f>
        <v>0</v>
      </c>
      <c r="AC26" s="15" t="s">
        <v>278</v>
      </c>
      <c r="AD26" s="10">
        <f>IF(ISNA(VLOOKUP(AC26,Scratch!$B$1:$C$3000,2,FALSE)),0,VLOOKUP(AC26,Scratch!$B$1:$C$3000,2,FALSE))</f>
        <v>0</v>
      </c>
      <c r="AE26" s="2">
        <f t="shared" si="9"/>
        <v>0</v>
      </c>
      <c r="AF26" s="11">
        <f>(IF($AI$2="ONY",VLOOKUP($AC26,Consumables!$AN$2:$AS$100,2,FALSE),
IF($AI$2="MC",VLOOKUP($AC26,Consumables!$AN$2:$AS$100,3,FALSE),
IF($AI$2="BWL",VLOOKUP($AC26,Consumables!$AN$2:$AS$100,4,FALSE),
IF($AI$2="AQ40",VLOOKUP($AC26,Consumables!$AN$2:$AS$100,5,FALSE),
IF($AI$2="NAXX",VLOOKUP($AC26,Consumables!$AN$2:$AS$100,6,FALSE),
IF($AI$2="X",0))))))+
(IF($AI$3="ONY",VLOOKUP($AC26,Consumables!$AN$2:$AS$100,2,FALSE),
IF($AI$3="MC",VLOOKUP($AC26,Consumables!$AN$2:$AS$100,3,FALSE),
IF($AI$3="BWL",VLOOKUP($AC26,Consumables!$AN$2:$AS$100,4,FALSE),
IF($AI$3="AQ40",VLOOKUP($AC26,Consumables!$AN$2:$AS$100,5,FALSE),
IF($AI$3="NAXX",VLOOKUP($AC26,Consumables!$AN$2:$AS$100,6,FALSE),
IF($AI$3="X",0)))))))+
(IF($AI$4="ONY",VLOOKUP($AC26,Consumables!$AN$2:$AS$100,2,FALSE),
IF($AI$4="MC",VLOOKUP($AC26,Consumables!$AN$2:$AS$100,3,FALSE),
IF($AI$4="BWL",VLOOKUP($AC26,Consumables!$AN$2:$AS$100,4,FALSE),
IF($AI$4="AQ40",VLOOKUP($AC26,Consumables!$AN$2:$AS$100,5,FALSE),
IF($AI$4="NAXX",VLOOKUP($AC26,Consumables!$AN$2:$AS$100,6,FALSE),
IF($AI$4="X",0,0))))))))</f>
        <v>0</v>
      </c>
      <c r="AG26" s="11">
        <f t="shared" si="7"/>
        <v>0</v>
      </c>
      <c r="AI26" s="49"/>
      <c r="AJ26" s="50"/>
      <c r="AK26" s="50"/>
      <c r="AL26" s="51"/>
      <c r="AN26" s="30" t="s">
        <v>42</v>
      </c>
      <c r="AO26" s="30">
        <v>0</v>
      </c>
      <c r="AP26" s="30">
        <v>0</v>
      </c>
      <c r="AQ26" s="30">
        <v>0</v>
      </c>
      <c r="AR26" s="30">
        <v>0</v>
      </c>
      <c r="AS26" s="30">
        <v>0</v>
      </c>
    </row>
    <row r="27" spans="1:45" x14ac:dyDescent="0.25">
      <c r="A27" s="1" t="s">
        <v>84</v>
      </c>
      <c r="B27" s="10">
        <f>IF(ISNA(VLOOKUP(A27,Scratch!$B$1:$C$3000,2,FALSE)),0,VLOOKUP(A27,Scratch!$B$1:$C$3000,2,FALSE))</f>
        <v>5</v>
      </c>
      <c r="C27" s="2">
        <f t="shared" si="0"/>
        <v>0</v>
      </c>
      <c r="D27" s="11">
        <f>(IF($AI$2="ONY",VLOOKUP($A27,Consumables!$AN$2:$AS$100,2,FALSE),
IF($AI$2="MC",VLOOKUP($A27,Consumables!$AN$2:$AS$100,3,FALSE),
IF($AI$2="BWL",VLOOKUP($A27,Consumables!$AN$2:$AS$100,4,FALSE),
IF($AI$2="AQ40",VLOOKUP($A27,Consumables!$AN$2:$AS$100,5,FALSE),
IF($AI$2="NAXX",VLOOKUP($A27,Consumables!$AN$2:$AS$100,6,FALSE),
IF($AI$2="X",0))))))+
(IF($AI$3="ONY",VLOOKUP($A27,Consumables!$AN$2:$AS$100,2,FALSE),
IF($AI$3="MC",VLOOKUP($A27,Consumables!$AN$2:$AS$100,3,FALSE),
IF($AI$3="BWL",VLOOKUP($A27,Consumables!$AN$2:$AS$100,4,FALSE),
IF($AI$3="AQ40",VLOOKUP($A27,Consumables!$AN$2:$AS$100,5,FALSE),
IF($AI$3="NAXX",VLOOKUP($A27,Consumables!$AN$2:$AS$100,6,FALSE),
IF($AI$3="X",0)))))))+
(IF($AI$4="ONY",VLOOKUP($A27,Consumables!$AN$2:$AS$100,2,FALSE),
IF($AI$4="MC",VLOOKUP($A27,Consumables!$AN$2:$AS$100,3,FALSE),
IF($AI$4="BWL",VLOOKUP($A27,Consumables!$AN$2:$AS$100,4,FALSE),
IF($AI$4="AQ40",VLOOKUP($A27,Consumables!$AN$2:$AS$100,5,FALSE),
IF($AI$4="NAXX",VLOOKUP($A27,Consumables!$AN$2:$AS$100,6,FALSE),
IF($AI$4="X",0,0))))))))</f>
        <v>5</v>
      </c>
      <c r="E27" s="3">
        <f t="shared" si="8"/>
        <v>0</v>
      </c>
      <c r="F27" s="1" t="s">
        <v>26</v>
      </c>
      <c r="G27" s="3">
        <v>1</v>
      </c>
      <c r="H27" s="1" t="s">
        <v>25</v>
      </c>
      <c r="I27" s="3">
        <v>1</v>
      </c>
      <c r="J27" s="1" t="s">
        <v>32</v>
      </c>
      <c r="K27" s="3">
        <v>1</v>
      </c>
      <c r="L27" s="3"/>
      <c r="M27" s="3"/>
      <c r="O27" s="1" t="s">
        <v>26</v>
      </c>
      <c r="P27" s="3">
        <f t="shared" si="2"/>
        <v>0</v>
      </c>
      <c r="Q27" s="1" t="s">
        <v>25</v>
      </c>
      <c r="R27" s="3">
        <f t="shared" si="3"/>
        <v>0</v>
      </c>
      <c r="S27" s="1" t="s">
        <v>32</v>
      </c>
      <c r="T27" s="3">
        <f t="shared" si="4"/>
        <v>0</v>
      </c>
      <c r="X27" s="1" t="s">
        <v>419</v>
      </c>
      <c r="Y27" s="10">
        <f>IF(ISNA(VLOOKUP(X27,Scratch!$B$1:$C$3000,2,FALSE)),0,VLOOKUP(X27,Scratch!$B$1:$C$3000,2,FALSE))</f>
        <v>0</v>
      </c>
      <c r="Z27" s="3">
        <f t="shared" si="5"/>
        <v>0</v>
      </c>
      <c r="AA27" s="11">
        <f>P18</f>
        <v>0</v>
      </c>
      <c r="AC27" s="15" t="s">
        <v>357</v>
      </c>
      <c r="AD27" s="10">
        <f>IF(ISNA(VLOOKUP(AC27,Scratch!$B$1:$C$3000,2,FALSE)),0,VLOOKUP(AC27,Scratch!$B$1:$C$3000,2,FALSE))</f>
        <v>0</v>
      </c>
      <c r="AE27" s="2">
        <f t="shared" si="9"/>
        <v>0</v>
      </c>
      <c r="AF27" s="11">
        <f>(IF($AI$2="ONY",VLOOKUP($AC27,Consumables!$AN$2:$AS$100,2,FALSE),
IF($AI$2="MC",VLOOKUP($AC27,Consumables!$AN$2:$AS$100,3,FALSE),
IF($AI$2="BWL",VLOOKUP($AC27,Consumables!$AN$2:$AS$100,4,FALSE),
IF($AI$2="AQ40",VLOOKUP($AC27,Consumables!$AN$2:$AS$100,5,FALSE),
IF($AI$2="NAXX",VLOOKUP($AC27,Consumables!$AN$2:$AS$100,6,FALSE),
IF($AI$2="X",0))))))+
(IF($AI$3="ONY",VLOOKUP($AC27,Consumables!$AN$2:$AS$100,2,FALSE),
IF($AI$3="MC",VLOOKUP($AC27,Consumables!$AN$2:$AS$100,3,FALSE),
IF($AI$3="BWL",VLOOKUP($AC27,Consumables!$AN$2:$AS$100,4,FALSE),
IF($AI$3="AQ40",VLOOKUP($AC27,Consumables!$AN$2:$AS$100,5,FALSE),
IF($AI$3="NAXX",VLOOKUP($AC27,Consumables!$AN$2:$AS$100,6,FALSE),
IF($AI$3="X",0)))))))+
(IF($AI$4="ONY",VLOOKUP($AC27,Consumables!$AN$2:$AS$100,2,FALSE),
IF($AI$4="MC",VLOOKUP($AC27,Consumables!$AN$2:$AS$100,3,FALSE),
IF($AI$4="BWL",VLOOKUP($AC27,Consumables!$AN$2:$AS$100,4,FALSE),
IF($AI$4="AQ40",VLOOKUP($AC27,Consumables!$AN$2:$AS$100,5,FALSE),
IF($AI$4="NAXX",VLOOKUP($AC27,Consumables!$AN$2:$AS$100,6,FALSE),
IF($AI$4="X",0,0))))))))</f>
        <v>0</v>
      </c>
      <c r="AG27" s="11">
        <f t="shared" si="7"/>
        <v>0</v>
      </c>
      <c r="AI27" s="49"/>
      <c r="AJ27" s="50"/>
      <c r="AK27" s="50"/>
      <c r="AL27" s="51"/>
      <c r="AN27" s="30" t="s">
        <v>97</v>
      </c>
      <c r="AO27" s="30">
        <v>0</v>
      </c>
      <c r="AP27" s="30">
        <v>5</v>
      </c>
      <c r="AQ27" s="30">
        <v>5</v>
      </c>
      <c r="AR27" s="30">
        <v>0</v>
      </c>
      <c r="AS27" s="30">
        <v>0</v>
      </c>
    </row>
    <row r="28" spans="1:45" x14ac:dyDescent="0.25">
      <c r="A28" s="1" t="s">
        <v>97</v>
      </c>
      <c r="B28" s="10">
        <f>IF(ISNA(VLOOKUP(A28,Scratch!$B$1:$C$3000,2,FALSE)),0,VLOOKUP(A28,Scratch!$B$1:$C$3000,2,FALSE))</f>
        <v>18</v>
      </c>
      <c r="C28" s="2">
        <f t="shared" si="0"/>
        <v>18</v>
      </c>
      <c r="D28" s="11">
        <f>(IF($AI$2="ONY",VLOOKUP($A28,Consumables!$AN$2:$AS$100,2,FALSE),
IF($AI$2="MC",VLOOKUP($A28,Consumables!$AN$2:$AS$100,3,FALSE),
IF($AI$2="BWL",VLOOKUP($A28,Consumables!$AN$2:$AS$100,4,FALSE),
IF($AI$2="AQ40",VLOOKUP($A28,Consumables!$AN$2:$AS$100,5,FALSE),
IF($AI$2="NAXX",VLOOKUP($A28,Consumables!$AN$2:$AS$100,6,FALSE),
IF($AI$2="X",0))))))+
(IF($AI$3="ONY",VLOOKUP($A28,Consumables!$AN$2:$AS$100,2,FALSE),
IF($AI$3="MC",VLOOKUP($A28,Consumables!$AN$2:$AS$100,3,FALSE),
IF($AI$3="BWL",VLOOKUP($A28,Consumables!$AN$2:$AS$100,4,FALSE),
IF($AI$3="AQ40",VLOOKUP($A28,Consumables!$AN$2:$AS$100,5,FALSE),
IF($AI$3="NAXX",VLOOKUP($A28,Consumables!$AN$2:$AS$100,6,FALSE),
IF($AI$3="X",0)))))))+
(IF($AI$4="ONY",VLOOKUP($A28,Consumables!$AN$2:$AS$100,2,FALSE),
IF($AI$4="MC",VLOOKUP($A28,Consumables!$AN$2:$AS$100,3,FALSE),
IF($AI$4="BWL",VLOOKUP($A28,Consumables!$AN$2:$AS$100,4,FALSE),
IF($AI$4="AQ40",VLOOKUP($A28,Consumables!$AN$2:$AS$100,5,FALSE),
IF($AI$4="NAXX",VLOOKUP($A28,Consumables!$AN$2:$AS$100,6,FALSE),
IF($AI$4="X",0,0))))))))</f>
        <v>0</v>
      </c>
      <c r="E28" s="3">
        <f t="shared" si="8"/>
        <v>0</v>
      </c>
      <c r="F28" s="1" t="s">
        <v>22</v>
      </c>
      <c r="G28" s="3">
        <v>2</v>
      </c>
      <c r="H28" s="1" t="s">
        <v>23</v>
      </c>
      <c r="I28" s="3">
        <v>1</v>
      </c>
      <c r="J28" s="1" t="s">
        <v>32</v>
      </c>
      <c r="K28" s="3">
        <v>1</v>
      </c>
      <c r="L28" s="3"/>
      <c r="M28" s="3"/>
      <c r="O28" s="1" t="s">
        <v>22</v>
      </c>
      <c r="P28" s="3">
        <f t="shared" si="2"/>
        <v>0</v>
      </c>
      <c r="Q28" s="1" t="s">
        <v>23</v>
      </c>
      <c r="R28" s="3">
        <f t="shared" si="3"/>
        <v>0</v>
      </c>
      <c r="S28" s="1" t="s">
        <v>32</v>
      </c>
      <c r="T28" s="3">
        <f t="shared" si="4"/>
        <v>0</v>
      </c>
      <c r="V28" s="3"/>
      <c r="X28" s="1" t="s">
        <v>89</v>
      </c>
      <c r="Y28" s="10">
        <f>IF(ISNA(VLOOKUP(X28,Scratch!$B$1:$C$3000,2,FALSE)),0,VLOOKUP(X28,Scratch!$B$1:$C$3000,2,FALSE))</f>
        <v>51</v>
      </c>
      <c r="Z28" s="3">
        <f t="shared" si="5"/>
        <v>51</v>
      </c>
      <c r="AA28" s="11">
        <f>P26</f>
        <v>0</v>
      </c>
      <c r="AC28" s="15" t="s">
        <v>6</v>
      </c>
      <c r="AD28" s="10">
        <f>IF(ISNA(VLOOKUP(AC28,Scratch!$B$1:$C$3000,2,FALSE)),0,VLOOKUP(AC28,Scratch!$B$1:$C$3000,2,FALSE))</f>
        <v>2</v>
      </c>
      <c r="AE28" s="2">
        <f t="shared" si="9"/>
        <v>2</v>
      </c>
      <c r="AF28" s="11">
        <f>(IF($AI$2="ONY",VLOOKUP($AC28,Consumables!$AN$2:$AS$100,2,FALSE),
IF($AI$2="MC",VLOOKUP($AC28,Consumables!$AN$2:$AS$100,3,FALSE),
IF($AI$2="BWL",VLOOKUP($AC28,Consumables!$AN$2:$AS$100,4,FALSE),
IF($AI$2="AQ40",VLOOKUP($AC28,Consumables!$AN$2:$AS$100,5,FALSE),
IF($AI$2="NAXX",VLOOKUP($AC28,Consumables!$AN$2:$AS$100,6,FALSE),
IF($AI$2="X",0))))))+
(IF($AI$3="ONY",VLOOKUP($AC28,Consumables!$AN$2:$AS$100,2,FALSE),
IF($AI$3="MC",VLOOKUP($AC28,Consumables!$AN$2:$AS$100,3,FALSE),
IF($AI$3="BWL",VLOOKUP($AC28,Consumables!$AN$2:$AS$100,4,FALSE),
IF($AI$3="AQ40",VLOOKUP($AC28,Consumables!$AN$2:$AS$100,5,FALSE),
IF($AI$3="NAXX",VLOOKUP($AC28,Consumables!$AN$2:$AS$100,6,FALSE),
IF($AI$3="X",0)))))))+
(IF($AI$4="ONY",VLOOKUP($AC28,Consumables!$AN$2:$AS$100,2,FALSE),
IF($AI$4="MC",VLOOKUP($AC28,Consumables!$AN$2:$AS$100,3,FALSE),
IF($AI$4="BWL",VLOOKUP($AC28,Consumables!$AN$2:$AS$100,4,FALSE),
IF($AI$4="AQ40",VLOOKUP($AC28,Consumables!$AN$2:$AS$100,5,FALSE),
IF($AI$4="NAXX",VLOOKUP($AC28,Consumables!$AN$2:$AS$100,6,FALSE),
IF($AI$4="X",0,0))))))))</f>
        <v>0</v>
      </c>
      <c r="AG28" s="11">
        <f t="shared" si="7"/>
        <v>0</v>
      </c>
      <c r="AI28" s="49"/>
      <c r="AJ28" s="50"/>
      <c r="AK28" s="50"/>
      <c r="AL28" s="51"/>
      <c r="AN28" s="30" t="s">
        <v>218</v>
      </c>
      <c r="AO28" s="30">
        <v>0</v>
      </c>
      <c r="AP28" s="30">
        <v>0</v>
      </c>
      <c r="AQ28" s="30">
        <v>0</v>
      </c>
      <c r="AR28" s="30">
        <v>0</v>
      </c>
      <c r="AS28" s="30">
        <v>0</v>
      </c>
    </row>
    <row r="29" spans="1:45" x14ac:dyDescent="0.25">
      <c r="A29" s="1" t="s">
        <v>401</v>
      </c>
      <c r="B29" s="10">
        <f>IF(ISNA(VLOOKUP(A29,Scratch!$B$1:$C$3000,2,FALSE)),0,VLOOKUP(A29,Scratch!$B$1:$C$3000,2,FALSE))</f>
        <v>0</v>
      </c>
      <c r="C29" s="2">
        <f t="shared" si="0"/>
        <v>0</v>
      </c>
      <c r="D29" s="11">
        <f>(IF($AI$2="ONY",VLOOKUP($A29,Consumables!$AN$2:$AS$100,2,FALSE),
IF($AI$2="MC",VLOOKUP($A29,Consumables!$AN$2:$AS$100,3,FALSE),
IF($AI$2="BWL",VLOOKUP($A29,Consumables!$AN$2:$AS$100,4,FALSE),
IF($AI$2="AQ40",VLOOKUP($A29,Consumables!$AN$2:$AS$100,5,FALSE),
IF($AI$2="NAXX",VLOOKUP($A29,Consumables!$AN$2:$AS$100,6,FALSE),
IF($AI$2="X",0))))))+
(IF($AI$3="ONY",VLOOKUP($A29,Consumables!$AN$2:$AS$100,2,FALSE),
IF($AI$3="MC",VLOOKUP($A29,Consumables!$AN$2:$AS$100,3,FALSE),
IF($AI$3="BWL",VLOOKUP($A29,Consumables!$AN$2:$AS$100,4,FALSE),
IF($AI$3="AQ40",VLOOKUP($A29,Consumables!$AN$2:$AS$100,5,FALSE),
IF($AI$3="NAXX",VLOOKUP($A29,Consumables!$AN$2:$AS$100,6,FALSE),
IF($AI$3="X",0)))))))+
(IF($AI$4="ONY",VLOOKUP($A29,Consumables!$AN$2:$AS$100,2,FALSE),
IF($AI$4="MC",VLOOKUP($A29,Consumables!$AN$2:$AS$100,3,FALSE),
IF($AI$4="BWL",VLOOKUP($A29,Consumables!$AN$2:$AS$100,4,FALSE),
IF($AI$4="AQ40",VLOOKUP($A29,Consumables!$AN$2:$AS$100,5,FALSE),
IF($AI$4="NAXX",VLOOKUP($A29,Consumables!$AN$2:$AS$100,6,FALSE),
IF($AI$4="X",0,0))))))))</f>
        <v>0</v>
      </c>
      <c r="E29" s="3">
        <f t="shared" ref="E29:E41" si="10">IF(D29-B29&lt;0,0,D29-B29)</f>
        <v>0</v>
      </c>
      <c r="F29" s="1" t="s">
        <v>21</v>
      </c>
      <c r="G29" s="3">
        <v>3</v>
      </c>
      <c r="I29" s="3"/>
      <c r="J29" s="1" t="s">
        <v>18</v>
      </c>
      <c r="K29" s="3">
        <v>1</v>
      </c>
      <c r="M29" s="3"/>
      <c r="O29" s="1" t="s">
        <v>21</v>
      </c>
      <c r="P29" s="3">
        <f t="shared" si="2"/>
        <v>0</v>
      </c>
      <c r="S29" s="1" t="s">
        <v>18</v>
      </c>
      <c r="T29" s="3">
        <f t="shared" si="4"/>
        <v>0</v>
      </c>
      <c r="X29" s="1" t="s">
        <v>431</v>
      </c>
      <c r="Y29" s="10">
        <f>IF(ISNA(VLOOKUP(X29,Scratch!$B$1:$C$3000,2,FALSE)),0,VLOOKUP(X29,Scratch!$B$1:$C$3000,2,FALSE))</f>
        <v>0</v>
      </c>
      <c r="Z29" s="3">
        <f t="shared" si="5"/>
        <v>0</v>
      </c>
      <c r="AA29" s="11">
        <f>P42+P121</f>
        <v>0</v>
      </c>
      <c r="AC29" s="15" t="s">
        <v>248</v>
      </c>
      <c r="AD29" s="10">
        <f>IF(ISNA(VLOOKUP(AC29,Scratch!$B$1:$C$3000,2,FALSE)),0,VLOOKUP(AC29,Scratch!$B$1:$C$3000,2,FALSE))</f>
        <v>9</v>
      </c>
      <c r="AE29" s="2">
        <f t="shared" si="9"/>
        <v>9</v>
      </c>
      <c r="AF29" s="11">
        <f>(IF($AI$2="ONY",VLOOKUP($AC29,Consumables!$AN$2:$AS$100,2,FALSE),
IF($AI$2="MC",VLOOKUP($AC29,Consumables!$AN$2:$AS$100,3,FALSE),
IF($AI$2="BWL",VLOOKUP($AC29,Consumables!$AN$2:$AS$100,4,FALSE),
IF($AI$2="AQ40",VLOOKUP($AC29,Consumables!$AN$2:$AS$100,5,FALSE),
IF($AI$2="NAXX",VLOOKUP($AC29,Consumables!$AN$2:$AS$100,6,FALSE),
IF($AI$2="X",0))))))+
(IF($AI$3="ONY",VLOOKUP($AC29,Consumables!$AN$2:$AS$100,2,FALSE),
IF($AI$3="MC",VLOOKUP($AC29,Consumables!$AN$2:$AS$100,3,FALSE),
IF($AI$3="BWL",VLOOKUP($AC29,Consumables!$AN$2:$AS$100,4,FALSE),
IF($AI$3="AQ40",VLOOKUP($AC29,Consumables!$AN$2:$AS$100,5,FALSE),
IF($AI$3="NAXX",VLOOKUP($AC29,Consumables!$AN$2:$AS$100,6,FALSE),
IF($AI$3="X",0)))))))+
(IF($AI$4="ONY",VLOOKUP($AC29,Consumables!$AN$2:$AS$100,2,FALSE),
IF($AI$4="MC",VLOOKUP($AC29,Consumables!$AN$2:$AS$100,3,FALSE),
IF($AI$4="BWL",VLOOKUP($AC29,Consumables!$AN$2:$AS$100,4,FALSE),
IF($AI$4="AQ40",VLOOKUP($AC29,Consumables!$AN$2:$AS$100,5,FALSE),
IF($AI$4="NAXX",VLOOKUP($AC29,Consumables!$AN$2:$AS$100,6,FALSE),
IF($AI$4="X",0,0))))))))</f>
        <v>0</v>
      </c>
      <c r="AG29" s="11">
        <f t="shared" si="7"/>
        <v>0</v>
      </c>
      <c r="AI29" s="49"/>
      <c r="AJ29" s="50"/>
      <c r="AK29" s="50"/>
      <c r="AL29" s="51"/>
      <c r="AN29" s="30" t="s">
        <v>244</v>
      </c>
      <c r="AO29" s="30">
        <v>0</v>
      </c>
      <c r="AP29" s="30">
        <v>0</v>
      </c>
      <c r="AQ29" s="30">
        <v>0</v>
      </c>
      <c r="AR29" s="30">
        <v>5</v>
      </c>
      <c r="AS29" s="30">
        <v>0</v>
      </c>
    </row>
    <row r="30" spans="1:45" x14ac:dyDescent="0.25">
      <c r="A30" s="1" t="s">
        <v>325</v>
      </c>
      <c r="B30" s="10">
        <f>IF(ISNA(VLOOKUP(A30,Scratch!$B$1:$C$3000,2,FALSE)),0,VLOOKUP(A30,Scratch!$B$1:$C$3000,2,FALSE))</f>
        <v>15</v>
      </c>
      <c r="C30" s="2">
        <f t="shared" si="0"/>
        <v>15</v>
      </c>
      <c r="D30" s="11">
        <f>(IF($AI$2="ONY",VLOOKUP($A30,Consumables!$AN$2:$AS$100,2,FALSE),
IF($AI$2="MC",VLOOKUP($A30,Consumables!$AN$2:$AS$100,3,FALSE),
IF($AI$2="BWL",VLOOKUP($A30,Consumables!$AN$2:$AS$100,4,FALSE),
IF($AI$2="AQ40",VLOOKUP($A30,Consumables!$AN$2:$AS$100,5,FALSE),
IF($AI$2="NAXX",VLOOKUP($A30,Consumables!$AN$2:$AS$100,6,FALSE),
IF($AI$2="X",0))))))+
(IF($AI$3="ONY",VLOOKUP($A30,Consumables!$AN$2:$AS$100,2,FALSE),
IF($AI$3="MC",VLOOKUP($A30,Consumables!$AN$2:$AS$100,3,FALSE),
IF($AI$3="BWL",VLOOKUP($A30,Consumables!$AN$2:$AS$100,4,FALSE),
IF($AI$3="AQ40",VLOOKUP($A30,Consumables!$AN$2:$AS$100,5,FALSE),
IF($AI$3="NAXX",VLOOKUP($A30,Consumables!$AN$2:$AS$100,6,FALSE),
IF($AI$3="X",0)))))))+
(IF($AI$4="ONY",VLOOKUP($A30,Consumables!$AN$2:$AS$100,2,FALSE),
IF($AI$4="MC",VLOOKUP($A30,Consumables!$AN$2:$AS$100,3,FALSE),
IF($AI$4="BWL",VLOOKUP($A30,Consumables!$AN$2:$AS$100,4,FALSE),
IF($AI$4="AQ40",VLOOKUP($A30,Consumables!$AN$2:$AS$100,5,FALSE),
IF($AI$4="NAXX",VLOOKUP($A30,Consumables!$AN$2:$AS$100,6,FALSE),
IF($AI$4="X",0,0))))))))</f>
        <v>0</v>
      </c>
      <c r="E30" s="3">
        <f t="shared" si="10"/>
        <v>0</v>
      </c>
      <c r="F30" s="1" t="s">
        <v>361</v>
      </c>
      <c r="G30" s="3">
        <v>1</v>
      </c>
      <c r="H30" s="1" t="s">
        <v>362</v>
      </c>
      <c r="I30" s="3">
        <v>1</v>
      </c>
      <c r="J30" s="1" t="s">
        <v>363</v>
      </c>
      <c r="K30" s="3">
        <v>1</v>
      </c>
      <c r="L30" s="1" t="s">
        <v>364</v>
      </c>
      <c r="M30" s="3">
        <v>1</v>
      </c>
      <c r="O30" s="1" t="s">
        <v>361</v>
      </c>
      <c r="P30" s="3">
        <f t="shared" si="2"/>
        <v>0</v>
      </c>
      <c r="Q30" s="1" t="s">
        <v>362</v>
      </c>
      <c r="R30" s="3">
        <f>E30*I30</f>
        <v>0</v>
      </c>
      <c r="S30" s="1" t="s">
        <v>363</v>
      </c>
      <c r="T30" s="3">
        <f t="shared" si="4"/>
        <v>0</v>
      </c>
      <c r="U30" s="1" t="s">
        <v>364</v>
      </c>
      <c r="V30" s="3">
        <f>M30*E30</f>
        <v>0</v>
      </c>
      <c r="X30" s="1" t="s">
        <v>433</v>
      </c>
      <c r="Y30" s="10">
        <f>IF(ISNA(VLOOKUP(X30,Scratch!$B$1:$C$3000,2,FALSE)),0,VLOOKUP(X30,Scratch!$B$1:$C$3000,2,FALSE))</f>
        <v>0</v>
      </c>
      <c r="Z30" s="3">
        <f t="shared" si="5"/>
        <v>0</v>
      </c>
      <c r="AA30" s="11">
        <f>P120</f>
        <v>0</v>
      </c>
      <c r="AC30" s="15" t="s">
        <v>15</v>
      </c>
      <c r="AD30" s="10">
        <f>IF(ISNA(VLOOKUP(AC30,Scratch!$B$1:$C$3000,2,FALSE)),0,VLOOKUP(AC30,Scratch!$B$1:$C$3000,2,FALSE))</f>
        <v>20</v>
      </c>
      <c r="AE30" s="2">
        <f t="shared" si="9"/>
        <v>0</v>
      </c>
      <c r="AF30" s="11">
        <f>(IF($AI$2="ONY",VLOOKUP($AC30,Consumables!$AN$2:$AS$100,2,FALSE),
IF($AI$2="MC",VLOOKUP($AC30,Consumables!$AN$2:$AS$100,3,FALSE),
IF($AI$2="BWL",VLOOKUP($AC30,Consumables!$AN$2:$AS$100,4,FALSE),
IF($AI$2="AQ40",VLOOKUP($AC30,Consumables!$AN$2:$AS$100,5,FALSE),
IF($AI$2="NAXX",VLOOKUP($AC30,Consumables!$AN$2:$AS$100,6,FALSE),
IF($AI$2="X",0))))))+
(IF($AI$3="ONY",VLOOKUP($AC30,Consumables!$AN$2:$AS$100,2,FALSE),
IF($AI$3="MC",VLOOKUP($AC30,Consumables!$AN$2:$AS$100,3,FALSE),
IF($AI$3="BWL",VLOOKUP($AC30,Consumables!$AN$2:$AS$100,4,FALSE),
IF($AI$3="AQ40",VLOOKUP($AC30,Consumables!$AN$2:$AS$100,5,FALSE),
IF($AI$3="NAXX",VLOOKUP($AC30,Consumables!$AN$2:$AS$100,6,FALSE),
IF($AI$3="X",0)))))))+
(IF($AI$4="ONY",VLOOKUP($AC30,Consumables!$AN$2:$AS$100,2,FALSE),
IF($AI$4="MC",VLOOKUP($AC30,Consumables!$AN$2:$AS$100,3,FALSE),
IF($AI$4="BWL",VLOOKUP($AC30,Consumables!$AN$2:$AS$100,4,FALSE),
IF($AI$4="AQ40",VLOOKUP($AC30,Consumables!$AN$2:$AS$100,5,FALSE),
IF($AI$4="NAXX",VLOOKUP($AC30,Consumables!$AN$2:$AS$100,6,FALSE),
IF($AI$4="X",0,0))))))))</f>
        <v>20</v>
      </c>
      <c r="AG30" s="11">
        <f t="shared" si="7"/>
        <v>0</v>
      </c>
      <c r="AI30" s="49"/>
      <c r="AJ30" s="50"/>
      <c r="AK30" s="50"/>
      <c r="AL30" s="51"/>
      <c r="AN30" s="30" t="s">
        <v>15</v>
      </c>
      <c r="AO30" s="30">
        <v>0</v>
      </c>
      <c r="AP30" s="30">
        <v>10</v>
      </c>
      <c r="AQ30" s="30">
        <v>20</v>
      </c>
      <c r="AR30" s="30">
        <v>20</v>
      </c>
      <c r="AS30" s="30">
        <v>20</v>
      </c>
    </row>
    <row r="31" spans="1:45" x14ac:dyDescent="0.25">
      <c r="A31" s="1" t="s">
        <v>425</v>
      </c>
      <c r="B31" s="10">
        <f>IF(ISNA(VLOOKUP(A31,Scratch!$B$1:$C$3000,2,FALSE)),0,VLOOKUP(A31,Scratch!$B$1:$C$3000,2,FALSE))</f>
        <v>0</v>
      </c>
      <c r="C31" s="2">
        <f t="shared" si="0"/>
        <v>0</v>
      </c>
      <c r="D31" s="11">
        <f>(IF($AI$2="ONY",VLOOKUP($A31,Consumables!$AN$2:$AS$100,2,FALSE),
IF($AI$2="MC",VLOOKUP($A31,Consumables!$AN$2:$AS$100,3,FALSE),
IF($AI$2="BWL",VLOOKUP($A31,Consumables!$AN$2:$AS$100,4,FALSE),
IF($AI$2="AQ40",VLOOKUP($A31,Consumables!$AN$2:$AS$100,5,FALSE),
IF($AI$2="NAXX",VLOOKUP($A31,Consumables!$AN$2:$AS$100,6,FALSE),
IF($AI$2="X",0))))))+
(IF($AI$3="ONY",VLOOKUP($A31,Consumables!$AN$2:$AS$100,2,FALSE),
IF($AI$3="MC",VLOOKUP($A31,Consumables!$AN$2:$AS$100,3,FALSE),
IF($AI$3="BWL",VLOOKUP($A31,Consumables!$AN$2:$AS$100,4,FALSE),
IF($AI$3="AQ40",VLOOKUP($A31,Consumables!$AN$2:$AS$100,5,FALSE),
IF($AI$3="NAXX",VLOOKUP($A31,Consumables!$AN$2:$AS$100,6,FALSE),
IF($AI$3="X",0)))))))+
(IF($AI$4="ONY",VLOOKUP($A31,Consumables!$AN$2:$AS$100,2,FALSE),
IF($AI$4="MC",VLOOKUP($A31,Consumables!$AN$2:$AS$100,3,FALSE),
IF($AI$4="BWL",VLOOKUP($A31,Consumables!$AN$2:$AS$100,4,FALSE),
IF($AI$4="AQ40",VLOOKUP($A31,Consumables!$AN$2:$AS$100,5,FALSE),
IF($AI$4="NAXX",VLOOKUP($A31,Consumables!$AN$2:$AS$100,6,FALSE),
IF($AI$4="X",0,0))))))))</f>
        <v>0</v>
      </c>
      <c r="E31" s="3">
        <f t="shared" si="10"/>
        <v>0</v>
      </c>
      <c r="F31" s="1" t="s">
        <v>426</v>
      </c>
      <c r="G31" s="3">
        <v>1</v>
      </c>
      <c r="H31" s="1" t="s">
        <v>28</v>
      </c>
      <c r="I31" s="3">
        <v>1</v>
      </c>
      <c r="O31" s="1" t="s">
        <v>426</v>
      </c>
      <c r="P31" s="3">
        <f t="shared" si="2"/>
        <v>0</v>
      </c>
      <c r="Q31" s="1" t="s">
        <v>28</v>
      </c>
      <c r="R31" s="3">
        <f>E31*I31</f>
        <v>0</v>
      </c>
      <c r="T31" s="3">
        <f t="shared" si="4"/>
        <v>0</v>
      </c>
      <c r="X31" s="1" t="s">
        <v>252</v>
      </c>
      <c r="Y31" s="10">
        <f>IF(ISNA(VLOOKUP(X31,Scratch!$B$1:$C$3000,2,FALSE)),0,VLOOKUP(X31,Scratch!$B$1:$C$3000,2,FALSE))</f>
        <v>87</v>
      </c>
      <c r="Z31" s="3">
        <f t="shared" si="5"/>
        <v>87</v>
      </c>
      <c r="AA31" s="11">
        <f>P10+P12+P47+P9</f>
        <v>0</v>
      </c>
      <c r="AC31" s="15" t="s">
        <v>155</v>
      </c>
      <c r="AD31" s="10">
        <f>IF(ISNA(VLOOKUP(AC31,Scratch!$B$1:$C$3000,2,FALSE)),0,VLOOKUP(AC31,Scratch!$B$1:$C$3000,2,FALSE))</f>
        <v>0</v>
      </c>
      <c r="AE31" s="2">
        <f t="shared" si="9"/>
        <v>0</v>
      </c>
      <c r="AF31" s="11">
        <f>(IF($AI$2="ONY",VLOOKUP($AC31,Consumables!$AN$2:$AS$100,2,FALSE),
IF($AI$2="MC",VLOOKUP($AC31,Consumables!$AN$2:$AS$100,3,FALSE),
IF($AI$2="BWL",VLOOKUP($AC31,Consumables!$AN$2:$AS$100,4,FALSE),
IF($AI$2="AQ40",VLOOKUP($AC31,Consumables!$AN$2:$AS$100,5,FALSE),
IF($AI$2="NAXX",VLOOKUP($AC31,Consumables!$AN$2:$AS$100,6,FALSE),
IF($AI$2="X",0))))))+
(IF($AI$3="ONY",VLOOKUP($AC31,Consumables!$AN$2:$AS$100,2,FALSE),
IF($AI$3="MC",VLOOKUP($AC31,Consumables!$AN$2:$AS$100,3,FALSE),
IF($AI$3="BWL",VLOOKUP($AC31,Consumables!$AN$2:$AS$100,4,FALSE),
IF($AI$3="AQ40",VLOOKUP($AC31,Consumables!$AN$2:$AS$100,5,FALSE),
IF($AI$3="NAXX",VLOOKUP($AC31,Consumables!$AN$2:$AS$100,6,FALSE),
IF($AI$3="X",0)))))))+
(IF($AI$4="ONY",VLOOKUP($AC31,Consumables!$AN$2:$AS$100,2,FALSE),
IF($AI$4="MC",VLOOKUP($AC31,Consumables!$AN$2:$AS$100,3,FALSE),
IF($AI$4="BWL",VLOOKUP($AC31,Consumables!$AN$2:$AS$100,4,FALSE),
IF($AI$4="AQ40",VLOOKUP($AC31,Consumables!$AN$2:$AS$100,5,FALSE),
IF($AI$4="NAXX",VLOOKUP($AC31,Consumables!$AN$2:$AS$100,6,FALSE),
IF($AI$4="X",0,0))))))))</f>
        <v>0</v>
      </c>
      <c r="AG31" s="11">
        <f t="shared" si="7"/>
        <v>0</v>
      </c>
      <c r="AI31" s="49"/>
      <c r="AJ31" s="50"/>
      <c r="AK31" s="50"/>
      <c r="AL31" s="51"/>
      <c r="AN31" s="30" t="s">
        <v>414</v>
      </c>
      <c r="AO31" s="30">
        <v>0</v>
      </c>
      <c r="AP31" s="30">
        <v>0</v>
      </c>
      <c r="AQ31" s="30">
        <v>0</v>
      </c>
      <c r="AR31" s="30">
        <v>0</v>
      </c>
      <c r="AS31" s="30">
        <v>0</v>
      </c>
    </row>
    <row r="32" spans="1:45" x14ac:dyDescent="0.25">
      <c r="A32" s="1" t="s">
        <v>151</v>
      </c>
      <c r="B32" s="10">
        <f>IF(ISNA(VLOOKUP(A32,Scratch!$B$1:$C$3000,2,FALSE)),0,VLOOKUP(A32,Scratch!$B$1:$C$3000,2,FALSE))</f>
        <v>20</v>
      </c>
      <c r="C32" s="2">
        <f t="shared" si="0"/>
        <v>5</v>
      </c>
      <c r="D32" s="11">
        <f>(IF($AI$2="ONY",VLOOKUP($A32,Consumables!$AN$2:$AS$100,2,FALSE),
IF($AI$2="MC",VLOOKUP($A32,Consumables!$AN$2:$AS$100,3,FALSE),
IF($AI$2="BWL",VLOOKUP($A32,Consumables!$AN$2:$AS$100,4,FALSE),
IF($AI$2="AQ40",VLOOKUP($A32,Consumables!$AN$2:$AS$100,5,FALSE),
IF($AI$2="NAXX",VLOOKUP($A32,Consumables!$AN$2:$AS$100,6,FALSE),
IF($AI$2="X",0))))))+
(IF($AI$3="ONY",VLOOKUP($A32,Consumables!$AN$2:$AS$100,2,FALSE),
IF($AI$3="MC",VLOOKUP($A32,Consumables!$AN$2:$AS$100,3,FALSE),
IF($AI$3="BWL",VLOOKUP($A32,Consumables!$AN$2:$AS$100,4,FALSE),
IF($AI$3="AQ40",VLOOKUP($A32,Consumables!$AN$2:$AS$100,5,FALSE),
IF($AI$3="NAXX",VLOOKUP($A32,Consumables!$AN$2:$AS$100,6,FALSE),
IF($AI$3="X",0)))))))+
(IF($AI$4="ONY",VLOOKUP($A32,Consumables!$AN$2:$AS$100,2,FALSE),
IF($AI$4="MC",VLOOKUP($A32,Consumables!$AN$2:$AS$100,3,FALSE),
IF($AI$4="BWL",VLOOKUP($A32,Consumables!$AN$2:$AS$100,4,FALSE),
IF($AI$4="AQ40",VLOOKUP($A32,Consumables!$AN$2:$AS$100,5,FALSE),
IF($AI$4="NAXX",VLOOKUP($A32,Consumables!$AN$2:$AS$100,6,FALSE),
IF($AI$4="X",0,0))))))))</f>
        <v>15</v>
      </c>
      <c r="E32" s="3">
        <f t="shared" si="10"/>
        <v>0</v>
      </c>
      <c r="F32" s="1" t="s">
        <v>152</v>
      </c>
      <c r="G32" s="3">
        <v>1</v>
      </c>
      <c r="H32" s="1" t="s">
        <v>28</v>
      </c>
      <c r="I32" s="3">
        <v>1</v>
      </c>
      <c r="K32" s="3"/>
      <c r="M32" s="3"/>
      <c r="O32" s="1" t="s">
        <v>152</v>
      </c>
      <c r="P32" s="3">
        <f t="shared" si="2"/>
        <v>0</v>
      </c>
      <c r="Q32" s="1" t="s">
        <v>28</v>
      </c>
      <c r="R32" s="3">
        <f>E32*I32</f>
        <v>0</v>
      </c>
      <c r="T32" s="3">
        <f t="shared" si="4"/>
        <v>0</v>
      </c>
      <c r="V32" s="3"/>
      <c r="X32" s="1" t="s">
        <v>43</v>
      </c>
      <c r="Y32" s="10">
        <f>IF(ISNA(VLOOKUP(X32,Scratch!$B$1:$C$3000,2,FALSE)),0,VLOOKUP(X32,Scratch!$B$1:$C$3000,2,FALSE))</f>
        <v>11</v>
      </c>
      <c r="Z32" s="3">
        <f t="shared" si="5"/>
        <v>11</v>
      </c>
      <c r="AA32" s="11">
        <f>P95</f>
        <v>0</v>
      </c>
      <c r="AC32" s="15" t="s">
        <v>146</v>
      </c>
      <c r="AD32" s="10">
        <f>IF(ISNA(VLOOKUP(AC32,Scratch!$B$1:$C$3000,2,FALSE)),0,VLOOKUP(AC32,Scratch!$B$1:$C$3000,2,FALSE))</f>
        <v>1</v>
      </c>
      <c r="AE32" s="2">
        <f t="shared" si="9"/>
        <v>1</v>
      </c>
      <c r="AF32" s="11">
        <f>(IF($AI$2="ONY",VLOOKUP($AC32,Consumables!$AN$2:$AS$100,2,FALSE),
IF($AI$2="MC",VLOOKUP($AC32,Consumables!$AN$2:$AS$100,3,FALSE),
IF($AI$2="BWL",VLOOKUP($AC32,Consumables!$AN$2:$AS$100,4,FALSE),
IF($AI$2="AQ40",VLOOKUP($AC32,Consumables!$AN$2:$AS$100,5,FALSE),
IF($AI$2="NAXX",VLOOKUP($AC32,Consumables!$AN$2:$AS$100,6,FALSE),
IF($AI$2="X",0))))))+
(IF($AI$3="ONY",VLOOKUP($AC32,Consumables!$AN$2:$AS$100,2,FALSE),
IF($AI$3="MC",VLOOKUP($AC32,Consumables!$AN$2:$AS$100,3,FALSE),
IF($AI$3="BWL",VLOOKUP($AC32,Consumables!$AN$2:$AS$100,4,FALSE),
IF($AI$3="AQ40",VLOOKUP($AC32,Consumables!$AN$2:$AS$100,5,FALSE),
IF($AI$3="NAXX",VLOOKUP($AC32,Consumables!$AN$2:$AS$100,6,FALSE),
IF($AI$3="X",0)))))))+
(IF($AI$4="ONY",VLOOKUP($AC32,Consumables!$AN$2:$AS$100,2,FALSE),
IF($AI$4="MC",VLOOKUP($AC32,Consumables!$AN$2:$AS$100,3,FALSE),
IF($AI$4="BWL",VLOOKUP($AC32,Consumables!$AN$2:$AS$100,4,FALSE),
IF($AI$4="AQ40",VLOOKUP($AC32,Consumables!$AN$2:$AS$100,5,FALSE),
IF($AI$4="NAXX",VLOOKUP($AC32,Consumables!$AN$2:$AS$100,6,FALSE),
IF($AI$4="X",0,0))))))))</f>
        <v>0</v>
      </c>
      <c r="AG32" s="11">
        <f t="shared" si="7"/>
        <v>0</v>
      </c>
      <c r="AI32" s="49"/>
      <c r="AJ32" s="50"/>
      <c r="AK32" s="50"/>
      <c r="AL32" s="51"/>
      <c r="AN32" s="30" t="s">
        <v>237</v>
      </c>
      <c r="AO32" s="30">
        <v>0</v>
      </c>
      <c r="AP32" s="30">
        <v>0</v>
      </c>
      <c r="AQ32" s="30">
        <v>0</v>
      </c>
      <c r="AR32" s="30">
        <v>2</v>
      </c>
      <c r="AS32" s="30">
        <v>0</v>
      </c>
    </row>
    <row r="33" spans="1:45" x14ac:dyDescent="0.25">
      <c r="A33" s="1" t="s">
        <v>247</v>
      </c>
      <c r="B33" s="10">
        <f>IF(ISNA(VLOOKUP(A33,Scratch!$B$1:$C$3000,2,FALSE)),0,VLOOKUP(A33,Scratch!$B$1:$C$3000,2,FALSE))</f>
        <v>8</v>
      </c>
      <c r="C33" s="2">
        <f t="shared" si="0"/>
        <v>3</v>
      </c>
      <c r="D33" s="11">
        <f>(IF($AI$2="ONY",VLOOKUP($A33,Consumables!$AN$2:$AS$100,2,FALSE),
IF($AI$2="MC",VLOOKUP($A33,Consumables!$AN$2:$AS$100,3,FALSE),
IF($AI$2="BWL",VLOOKUP($A33,Consumables!$AN$2:$AS$100,4,FALSE),
IF($AI$2="AQ40",VLOOKUP($A33,Consumables!$AN$2:$AS$100,5,FALSE),
IF($AI$2="NAXX",VLOOKUP($A33,Consumables!$AN$2:$AS$100,6,FALSE),
IF($AI$2="X",0))))))+
(IF($AI$3="ONY",VLOOKUP($A33,Consumables!$AN$2:$AS$100,2,FALSE),
IF($AI$3="MC",VLOOKUP($A33,Consumables!$AN$2:$AS$100,3,FALSE),
IF($AI$3="BWL",VLOOKUP($A33,Consumables!$AN$2:$AS$100,4,FALSE),
IF($AI$3="AQ40",VLOOKUP($A33,Consumables!$AN$2:$AS$100,5,FALSE),
IF($AI$3="NAXX",VLOOKUP($A33,Consumables!$AN$2:$AS$100,6,FALSE),
IF($AI$3="X",0)))))))+
(IF($AI$4="ONY",VLOOKUP($A33,Consumables!$AN$2:$AS$100,2,FALSE),
IF($AI$4="MC",VLOOKUP($A33,Consumables!$AN$2:$AS$100,3,FALSE),
IF($AI$4="BWL",VLOOKUP($A33,Consumables!$AN$2:$AS$100,4,FALSE),
IF($AI$4="AQ40",VLOOKUP($A33,Consumables!$AN$2:$AS$100,5,FALSE),
IF($AI$4="NAXX",VLOOKUP($A33,Consumables!$AN$2:$AS$100,6,FALSE),
IF($AI$4="X",0,0))))))))</f>
        <v>5</v>
      </c>
      <c r="E33" s="3">
        <f t="shared" si="10"/>
        <v>0</v>
      </c>
      <c r="F33" s="1" t="s">
        <v>369</v>
      </c>
      <c r="G33" s="3">
        <v>1</v>
      </c>
      <c r="H33" s="1" t="s">
        <v>370</v>
      </c>
      <c r="I33" s="3">
        <v>1</v>
      </c>
      <c r="K33" s="3"/>
      <c r="M33" s="3"/>
      <c r="O33" s="1" t="s">
        <v>369</v>
      </c>
      <c r="P33" s="3">
        <f t="shared" si="2"/>
        <v>0</v>
      </c>
      <c r="Q33" s="1" t="s">
        <v>370</v>
      </c>
      <c r="R33" s="3">
        <f>E33*I33</f>
        <v>0</v>
      </c>
      <c r="T33" s="3">
        <f t="shared" si="4"/>
        <v>0</v>
      </c>
      <c r="V33" s="3">
        <f>M33*E33</f>
        <v>0</v>
      </c>
      <c r="X33" s="1" t="s">
        <v>326</v>
      </c>
      <c r="Y33" s="10">
        <f>IF(ISNA(VLOOKUP(X33,Scratch!$B$1:$C$3000,2,FALSE)),0,VLOOKUP(X33,Scratch!$B$1:$C$3000,2,FALSE))</f>
        <v>20</v>
      </c>
      <c r="Z33" s="3">
        <f t="shared" si="5"/>
        <v>20</v>
      </c>
      <c r="AA33" s="11">
        <f>R10+R8+P13</f>
        <v>0</v>
      </c>
      <c r="AC33" s="15" t="s">
        <v>149</v>
      </c>
      <c r="AD33" s="10">
        <f>IF(ISNA(VLOOKUP(AC33,Scratch!$B$1:$C$3000,2,FALSE)),0,VLOOKUP(AC33,Scratch!$B$1:$C$3000,2,FALSE))</f>
        <v>28</v>
      </c>
      <c r="AE33" s="2">
        <f t="shared" si="9"/>
        <v>18</v>
      </c>
      <c r="AF33" s="11">
        <f>(IF($AI$2="ONY",VLOOKUP($AC33,Consumables!$AN$2:$AS$100,2,FALSE),
IF($AI$2="MC",VLOOKUP($AC33,Consumables!$AN$2:$AS$100,3,FALSE),
IF($AI$2="BWL",VLOOKUP($AC33,Consumables!$AN$2:$AS$100,4,FALSE),
IF($AI$2="AQ40",VLOOKUP($AC33,Consumables!$AN$2:$AS$100,5,FALSE),
IF($AI$2="NAXX",VLOOKUP($AC33,Consumables!$AN$2:$AS$100,6,FALSE),
IF($AI$2="X",0))))))+
(IF($AI$3="ONY",VLOOKUP($AC33,Consumables!$AN$2:$AS$100,2,FALSE),
IF($AI$3="MC",VLOOKUP($AC33,Consumables!$AN$2:$AS$100,3,FALSE),
IF($AI$3="BWL",VLOOKUP($AC33,Consumables!$AN$2:$AS$100,4,FALSE),
IF($AI$3="AQ40",VLOOKUP($AC33,Consumables!$AN$2:$AS$100,5,FALSE),
IF($AI$3="NAXX",VLOOKUP($AC33,Consumables!$AN$2:$AS$100,6,FALSE),
IF($AI$3="X",0)))))))+
(IF($AI$4="ONY",VLOOKUP($AC33,Consumables!$AN$2:$AS$100,2,FALSE),
IF($AI$4="MC",VLOOKUP($AC33,Consumables!$AN$2:$AS$100,3,FALSE),
IF($AI$4="BWL",VLOOKUP($AC33,Consumables!$AN$2:$AS$100,4,FALSE),
IF($AI$4="AQ40",VLOOKUP($AC33,Consumables!$AN$2:$AS$100,5,FALSE),
IF($AI$4="NAXX",VLOOKUP($AC33,Consumables!$AN$2:$AS$100,6,FALSE),
IF($AI$4="X",0,0))))))))</f>
        <v>10</v>
      </c>
      <c r="AG33" s="11">
        <f t="shared" si="7"/>
        <v>0</v>
      </c>
      <c r="AN33" s="30" t="s">
        <v>255</v>
      </c>
      <c r="AO33" s="30">
        <v>2</v>
      </c>
      <c r="AP33" s="30">
        <v>5</v>
      </c>
      <c r="AQ33" s="30">
        <v>10</v>
      </c>
      <c r="AR33" s="30">
        <v>2</v>
      </c>
      <c r="AS33" s="30">
        <v>10</v>
      </c>
    </row>
    <row r="34" spans="1:45" x14ac:dyDescent="0.25">
      <c r="A34" s="1" t="s">
        <v>332</v>
      </c>
      <c r="B34" s="10">
        <f>IF(ISNA(VLOOKUP(A34,Scratch!$B$1:$C$3000,2,FALSE)),0,VLOOKUP(A34,Scratch!$B$1:$C$3000,2,FALSE))</f>
        <v>34</v>
      </c>
      <c r="C34" s="2">
        <f t="shared" si="0"/>
        <v>34</v>
      </c>
      <c r="D34" s="11">
        <f>(IF($AI$2="ONY",VLOOKUP($A34,Consumables!$AN$2:$AS$100,2,FALSE),
IF($AI$2="MC",VLOOKUP($A34,Consumables!$AN$2:$AS$100,3,FALSE),
IF($AI$2="BWL",VLOOKUP($A34,Consumables!$AN$2:$AS$100,4,FALSE),
IF($AI$2="AQ40",VLOOKUP($A34,Consumables!$AN$2:$AS$100,5,FALSE),
IF($AI$2="NAXX",VLOOKUP($A34,Consumables!$AN$2:$AS$100,6,FALSE),
IF($AI$2="X",0))))))+
(IF($AI$3="ONY",VLOOKUP($A34,Consumables!$AN$2:$AS$100,2,FALSE),
IF($AI$3="MC",VLOOKUP($A34,Consumables!$AN$2:$AS$100,3,FALSE),
IF($AI$3="BWL",VLOOKUP($A34,Consumables!$AN$2:$AS$100,4,FALSE),
IF($AI$3="AQ40",VLOOKUP($A34,Consumables!$AN$2:$AS$100,5,FALSE),
IF($AI$3="NAXX",VLOOKUP($A34,Consumables!$AN$2:$AS$100,6,FALSE),
IF($AI$3="X",0)))))))+
(IF($AI$4="ONY",VLOOKUP($A34,Consumables!$AN$2:$AS$100,2,FALSE),
IF($AI$4="MC",VLOOKUP($A34,Consumables!$AN$2:$AS$100,3,FALSE),
IF($AI$4="BWL",VLOOKUP($A34,Consumables!$AN$2:$AS$100,4,FALSE),
IF($AI$4="AQ40",VLOOKUP($A34,Consumables!$AN$2:$AS$100,5,FALSE),
IF($AI$4="NAXX",VLOOKUP($A34,Consumables!$AN$2:$AS$100,6,FALSE),
IF($AI$4="X",0,0))))))))</f>
        <v>0</v>
      </c>
      <c r="E34" s="3">
        <f t="shared" si="10"/>
        <v>0</v>
      </c>
      <c r="F34" s="1" t="s">
        <v>398</v>
      </c>
      <c r="G34" s="3">
        <v>1</v>
      </c>
      <c r="I34" s="3"/>
      <c r="K34" s="3"/>
      <c r="M34" s="3"/>
      <c r="O34" s="1" t="s">
        <v>398</v>
      </c>
      <c r="P34" s="3">
        <f t="shared" si="2"/>
        <v>0</v>
      </c>
      <c r="X34" s="1" t="s">
        <v>215</v>
      </c>
      <c r="Y34" s="10">
        <f>IF(ISNA(VLOOKUP(X34,Scratch!$B$1:$C$3000,2,FALSE)),0,VLOOKUP(X34,Scratch!$B$1:$C$3000,2,FALSE))</f>
        <v>10</v>
      </c>
      <c r="Z34" s="3">
        <f t="shared" ref="Z34:Z59" si="11">Y34-AA34</f>
        <v>10</v>
      </c>
      <c r="AA34" s="11">
        <f>R36+R22</f>
        <v>0</v>
      </c>
      <c r="AC34" s="15" t="s">
        <v>150</v>
      </c>
      <c r="AD34" s="10">
        <f>IF(ISNA(VLOOKUP(AC34,Scratch!$B$1:$C$3000,2,FALSE)),0,VLOOKUP(AC34,Scratch!$B$1:$C$3000,2,FALSE))</f>
        <v>1</v>
      </c>
      <c r="AE34" s="2">
        <f t="shared" si="9"/>
        <v>0</v>
      </c>
      <c r="AF34" s="11">
        <f>(IF($AI$2="ONY",VLOOKUP($AC34,Consumables!$AN$2:$AS$100,2,FALSE),
IF($AI$2="MC",VLOOKUP($AC34,Consumables!$AN$2:$AS$100,3,FALSE),
IF($AI$2="BWL",VLOOKUP($AC34,Consumables!$AN$2:$AS$100,4,FALSE),
IF($AI$2="AQ40",VLOOKUP($AC34,Consumables!$AN$2:$AS$100,5,FALSE),
IF($AI$2="NAXX",VLOOKUP($AC34,Consumables!$AN$2:$AS$100,6,FALSE),
IF($AI$2="X",0))))))+
(IF($AI$3="ONY",VLOOKUP($AC34,Consumables!$AN$2:$AS$100,2,FALSE),
IF($AI$3="MC",VLOOKUP($AC34,Consumables!$AN$2:$AS$100,3,FALSE),
IF($AI$3="BWL",VLOOKUP($AC34,Consumables!$AN$2:$AS$100,4,FALSE),
IF($AI$3="AQ40",VLOOKUP($AC34,Consumables!$AN$2:$AS$100,5,FALSE),
IF($AI$3="NAXX",VLOOKUP($AC34,Consumables!$AN$2:$AS$100,6,FALSE),
IF($AI$3="X",0)))))))+
(IF($AI$4="ONY",VLOOKUP($AC34,Consumables!$AN$2:$AS$100,2,FALSE),
IF($AI$4="MC",VLOOKUP($AC34,Consumables!$AN$2:$AS$100,3,FALSE),
IF($AI$4="BWL",VLOOKUP($AC34,Consumables!$AN$2:$AS$100,4,FALSE),
IF($AI$4="AQ40",VLOOKUP($AC34,Consumables!$AN$2:$AS$100,5,FALSE),
IF($AI$4="NAXX",VLOOKUP($AC34,Consumables!$AN$2:$AS$100,6,FALSE),
IF($AI$4="X",0,0))))))))</f>
        <v>1</v>
      </c>
      <c r="AG34" s="11">
        <f t="shared" si="7"/>
        <v>0</v>
      </c>
      <c r="AN34" s="30" t="s">
        <v>259</v>
      </c>
      <c r="AO34" s="30">
        <v>0</v>
      </c>
      <c r="AP34" s="30">
        <v>0</v>
      </c>
      <c r="AQ34" s="30">
        <v>0</v>
      </c>
      <c r="AR34" s="30">
        <v>2</v>
      </c>
      <c r="AS34" s="30">
        <v>10</v>
      </c>
    </row>
    <row r="35" spans="1:45" x14ac:dyDescent="0.25">
      <c r="A35" s="1" t="s">
        <v>14</v>
      </c>
      <c r="B35" s="10">
        <f>IF(ISNA(VLOOKUP(A35,Scratch!$B$1:$C$3000,2,FALSE)),0,VLOOKUP(A35,Scratch!$B$1:$C$3000,2,FALSE))</f>
        <v>0</v>
      </c>
      <c r="C35" s="2">
        <f t="shared" si="0"/>
        <v>0</v>
      </c>
      <c r="D35" s="11">
        <f>(IF($AI$2="ONY",VLOOKUP($A35,Consumables!$AN$2:$AS$100,2,FALSE),
IF($AI$2="MC",VLOOKUP($A35,Consumables!$AN$2:$AS$100,3,FALSE),
IF($AI$2="BWL",VLOOKUP($A35,Consumables!$AN$2:$AS$100,4,FALSE),
IF($AI$2="AQ40",VLOOKUP($A35,Consumables!$AN$2:$AS$100,5,FALSE),
IF($AI$2="NAXX",VLOOKUP($A35,Consumables!$AN$2:$AS$100,6,FALSE),
IF($AI$2="X",0))))))+
(IF($AI$3="ONY",VLOOKUP($A35,Consumables!$AN$2:$AS$100,2,FALSE),
IF($AI$3="MC",VLOOKUP($A35,Consumables!$AN$2:$AS$100,3,FALSE),
IF($AI$3="BWL",VLOOKUP($A35,Consumables!$AN$2:$AS$100,4,FALSE),
IF($AI$3="AQ40",VLOOKUP($A35,Consumables!$AN$2:$AS$100,5,FALSE),
IF($AI$3="NAXX",VLOOKUP($A35,Consumables!$AN$2:$AS$100,6,FALSE),
IF($AI$3="X",0)))))))+
(IF($AI$4="ONY",VLOOKUP($A35,Consumables!$AN$2:$AS$100,2,FALSE),
IF($AI$4="MC",VLOOKUP($A35,Consumables!$AN$2:$AS$100,3,FALSE),
IF($AI$4="BWL",VLOOKUP($A35,Consumables!$AN$2:$AS$100,4,FALSE),
IF($AI$4="AQ40",VLOOKUP($A35,Consumables!$AN$2:$AS$100,5,FALSE),
IF($AI$4="NAXX",VLOOKUP($A35,Consumables!$AN$2:$AS$100,6,FALSE),
IF($AI$4="X",0,0))))))))</f>
        <v>0</v>
      </c>
      <c r="E35" s="3">
        <f t="shared" si="10"/>
        <v>0</v>
      </c>
      <c r="F35" s="1" t="s">
        <v>27</v>
      </c>
      <c r="G35" s="3">
        <v>1</v>
      </c>
      <c r="H35" s="1" t="s">
        <v>28</v>
      </c>
      <c r="I35" s="3">
        <v>1</v>
      </c>
      <c r="K35" s="3"/>
      <c r="M35" s="3"/>
      <c r="O35" s="1" t="s">
        <v>27</v>
      </c>
      <c r="P35" s="3">
        <f t="shared" si="2"/>
        <v>0</v>
      </c>
      <c r="Q35" s="1" t="s">
        <v>28</v>
      </c>
      <c r="R35" s="3">
        <f t="shared" ref="R35:R49" si="12">E35*I35</f>
        <v>0</v>
      </c>
      <c r="T35" s="3">
        <f t="shared" ref="T35:T44" si="13">E35*K35</f>
        <v>0</v>
      </c>
      <c r="V35" s="3"/>
      <c r="X35" s="1" t="s">
        <v>389</v>
      </c>
      <c r="Y35" s="10">
        <f>IF(ISNA(VLOOKUP(X35,Scratch!$B$1:$C$3000,2,FALSE)),0,VLOOKUP(X35,Scratch!$B$1:$C$3000,2,FALSE))</f>
        <v>0</v>
      </c>
      <c r="Z35" s="3">
        <f t="shared" si="11"/>
        <v>0</v>
      </c>
      <c r="AA35" s="11">
        <f>P33</f>
        <v>0</v>
      </c>
      <c r="AC35" s="15" t="s">
        <v>153</v>
      </c>
      <c r="AD35" s="10">
        <f>IF(ISNA(VLOOKUP(AC35,Scratch!$B$1:$C$3000,2,FALSE)),0,VLOOKUP(AC35,Scratch!$B$1:$C$3000,2,FALSE))</f>
        <v>20</v>
      </c>
      <c r="AE35" s="2">
        <f t="shared" si="9"/>
        <v>10</v>
      </c>
      <c r="AF35" s="11">
        <f>(IF($AI$2="ONY",VLOOKUP($AC35,Consumables!$AN$2:$AS$100,2,FALSE),
IF($AI$2="MC",VLOOKUP($AC35,Consumables!$AN$2:$AS$100,3,FALSE),
IF($AI$2="BWL",VLOOKUP($AC35,Consumables!$AN$2:$AS$100,4,FALSE),
IF($AI$2="AQ40",VLOOKUP($AC35,Consumables!$AN$2:$AS$100,5,FALSE),
IF($AI$2="NAXX",VLOOKUP($AC35,Consumables!$AN$2:$AS$100,6,FALSE),
IF($AI$2="X",0))))))+
(IF($AI$3="ONY",VLOOKUP($AC35,Consumables!$AN$2:$AS$100,2,FALSE),
IF($AI$3="MC",VLOOKUP($AC35,Consumables!$AN$2:$AS$100,3,FALSE),
IF($AI$3="BWL",VLOOKUP($AC35,Consumables!$AN$2:$AS$100,4,FALSE),
IF($AI$3="AQ40",VLOOKUP($AC35,Consumables!$AN$2:$AS$100,5,FALSE),
IF($AI$3="NAXX",VLOOKUP($AC35,Consumables!$AN$2:$AS$100,6,FALSE),
IF($AI$3="X",0)))))))+
(IF($AI$4="ONY",VLOOKUP($AC35,Consumables!$AN$2:$AS$100,2,FALSE),
IF($AI$4="MC",VLOOKUP($AC35,Consumables!$AN$2:$AS$100,3,FALSE),
IF($AI$4="BWL",VLOOKUP($AC35,Consumables!$AN$2:$AS$100,4,FALSE),
IF($AI$4="AQ40",VLOOKUP($AC35,Consumables!$AN$2:$AS$100,5,FALSE),
IF($AI$4="NAXX",VLOOKUP($AC35,Consumables!$AN$2:$AS$100,6,FALSE),
IF($AI$4="X",0,0))))))))</f>
        <v>10</v>
      </c>
      <c r="AG35" s="11">
        <f t="shared" si="7"/>
        <v>0</v>
      </c>
      <c r="AN35" s="30" t="s">
        <v>238</v>
      </c>
      <c r="AO35" s="30">
        <v>0</v>
      </c>
      <c r="AP35" s="30">
        <v>0</v>
      </c>
      <c r="AQ35" s="30">
        <v>0</v>
      </c>
      <c r="AR35" s="30">
        <v>5</v>
      </c>
      <c r="AS35" s="30">
        <v>4</v>
      </c>
    </row>
    <row r="36" spans="1:45" x14ac:dyDescent="0.25">
      <c r="A36" s="1" t="s">
        <v>245</v>
      </c>
      <c r="B36" s="10">
        <f>IF(ISNA(VLOOKUP(A36,Scratch!$B$1:$C$3000,2,FALSE)),0,VLOOKUP(A36,Scratch!$B$1:$C$3000,2,FALSE))</f>
        <v>2</v>
      </c>
      <c r="C36" s="2">
        <f t="shared" si="0"/>
        <v>2</v>
      </c>
      <c r="D36" s="11">
        <f>(IF($AI$2="ONY",VLOOKUP($A36,Consumables!$AN$2:$AS$100,2,FALSE),
IF($AI$2="MC",VLOOKUP($A36,Consumables!$AN$2:$AS$100,3,FALSE),
IF($AI$2="BWL",VLOOKUP($A36,Consumables!$AN$2:$AS$100,4,FALSE),
IF($AI$2="AQ40",VLOOKUP($A36,Consumables!$AN$2:$AS$100,5,FALSE),
IF($AI$2="NAXX",VLOOKUP($A36,Consumables!$AN$2:$AS$100,6,FALSE),
IF($AI$2="X",0))))))+
(IF($AI$3="ONY",VLOOKUP($A36,Consumables!$AN$2:$AS$100,2,FALSE),
IF($AI$3="MC",VLOOKUP($A36,Consumables!$AN$2:$AS$100,3,FALSE),
IF($AI$3="BWL",VLOOKUP($A36,Consumables!$AN$2:$AS$100,4,FALSE),
IF($AI$3="AQ40",VLOOKUP($A36,Consumables!$AN$2:$AS$100,5,FALSE),
IF($AI$3="NAXX",VLOOKUP($A36,Consumables!$AN$2:$AS$100,6,FALSE),
IF($AI$3="X",0)))))))+
(IF($AI$4="ONY",VLOOKUP($A36,Consumables!$AN$2:$AS$100,2,FALSE),
IF($AI$4="MC",VLOOKUP($A36,Consumables!$AN$2:$AS$100,3,FALSE),
IF($AI$4="BWL",VLOOKUP($A36,Consumables!$AN$2:$AS$100,4,FALSE),
IF($AI$4="AQ40",VLOOKUP($A36,Consumables!$AN$2:$AS$100,5,FALSE),
IF($AI$4="NAXX",VLOOKUP($A36,Consumables!$AN$2:$AS$100,6,FALSE),
IF($AI$4="X",0,0))))))))</f>
        <v>0</v>
      </c>
      <c r="E36" s="3">
        <f t="shared" si="10"/>
        <v>0</v>
      </c>
      <c r="F36" s="1" t="s">
        <v>365</v>
      </c>
      <c r="G36" s="3">
        <v>2</v>
      </c>
      <c r="H36" s="1" t="s">
        <v>366</v>
      </c>
      <c r="I36" s="3">
        <v>3</v>
      </c>
      <c r="J36" s="1" t="s">
        <v>367</v>
      </c>
      <c r="K36" s="3">
        <v>1</v>
      </c>
      <c r="M36" s="3"/>
      <c r="O36" s="1" t="s">
        <v>365</v>
      </c>
      <c r="P36" s="3">
        <f t="shared" si="2"/>
        <v>0</v>
      </c>
      <c r="Q36" s="1" t="s">
        <v>366</v>
      </c>
      <c r="R36" s="3">
        <f t="shared" si="12"/>
        <v>0</v>
      </c>
      <c r="S36" s="1" t="s">
        <v>367</v>
      </c>
      <c r="T36" s="3">
        <f t="shared" si="13"/>
        <v>0</v>
      </c>
      <c r="V36" s="3">
        <f>M36*E36</f>
        <v>0</v>
      </c>
      <c r="X36" s="1" t="s">
        <v>399</v>
      </c>
      <c r="Y36" s="10">
        <f>IF(ISNA(VLOOKUP(X36,Scratch!$B$1:$C$3000,2,FALSE)),0,VLOOKUP(X36,Scratch!$B$1:$C$3000,2,FALSE))</f>
        <v>0</v>
      </c>
      <c r="Z36" s="3">
        <f t="shared" si="11"/>
        <v>0</v>
      </c>
      <c r="AA36" s="11">
        <f>P34</f>
        <v>0</v>
      </c>
      <c r="AC36" s="15" t="s">
        <v>111</v>
      </c>
      <c r="AD36" s="10">
        <f>IF(ISNA(VLOOKUP(AC36,Scratch!$B$1:$C$3000,2,FALSE)),0,VLOOKUP(AC36,Scratch!$B$1:$C$3000,2,FALSE))</f>
        <v>17</v>
      </c>
      <c r="AE36" s="2">
        <f t="shared" si="9"/>
        <v>17</v>
      </c>
      <c r="AF36" s="11">
        <f>(IF($AI$2="ONY",VLOOKUP($AC36,Consumables!$AN$2:$AS$100,2,FALSE),
IF($AI$2="MC",VLOOKUP($AC36,Consumables!$AN$2:$AS$100,3,FALSE),
IF($AI$2="BWL",VLOOKUP($AC36,Consumables!$AN$2:$AS$100,4,FALSE),
IF($AI$2="AQ40",VLOOKUP($AC36,Consumables!$AN$2:$AS$100,5,FALSE),
IF($AI$2="NAXX",VLOOKUP($AC36,Consumables!$AN$2:$AS$100,6,FALSE),
IF($AI$2="X",0))))))+
(IF($AI$3="ONY",VLOOKUP($AC36,Consumables!$AN$2:$AS$100,2,FALSE),
IF($AI$3="MC",VLOOKUP($AC36,Consumables!$AN$2:$AS$100,3,FALSE),
IF($AI$3="BWL",VLOOKUP($AC36,Consumables!$AN$2:$AS$100,4,FALSE),
IF($AI$3="AQ40",VLOOKUP($AC36,Consumables!$AN$2:$AS$100,5,FALSE),
IF($AI$3="NAXX",VLOOKUP($AC36,Consumables!$AN$2:$AS$100,6,FALSE),
IF($AI$3="X",0)))))))+
(IF($AI$4="ONY",VLOOKUP($AC36,Consumables!$AN$2:$AS$100,2,FALSE),
IF($AI$4="MC",VLOOKUP($AC36,Consumables!$AN$2:$AS$100,3,FALSE),
IF($AI$4="BWL",VLOOKUP($AC36,Consumables!$AN$2:$AS$100,4,FALSE),
IF($AI$4="AQ40",VLOOKUP($AC36,Consumables!$AN$2:$AS$100,5,FALSE),
IF($AI$4="NAXX",VLOOKUP($AC36,Consumables!$AN$2:$AS$100,6,FALSE),
IF($AI$4="X",0,0))))))))</f>
        <v>0</v>
      </c>
      <c r="AG36" s="11">
        <f t="shared" si="7"/>
        <v>0</v>
      </c>
      <c r="AN36" s="30" t="s">
        <v>96</v>
      </c>
      <c r="AO36" s="30">
        <v>0</v>
      </c>
      <c r="AP36" s="30">
        <v>0</v>
      </c>
      <c r="AQ36" s="30">
        <v>0</v>
      </c>
      <c r="AR36" s="30">
        <v>5</v>
      </c>
      <c r="AS36" s="30">
        <v>10</v>
      </c>
    </row>
    <row r="37" spans="1:45" x14ac:dyDescent="0.25">
      <c r="A37" s="1" t="s">
        <v>356</v>
      </c>
      <c r="B37" s="10">
        <f>IF(ISNA(VLOOKUP(A37,Scratch!$B$1:$C$3000,2,FALSE)),0,VLOOKUP(A37,Scratch!$B$1:$C$3000,2,FALSE))</f>
        <v>0</v>
      </c>
      <c r="C37" s="2">
        <f t="shared" si="0"/>
        <v>0</v>
      </c>
      <c r="D37" s="11">
        <f>(IF($AI$2="ONY",VLOOKUP($A37,Consumables!$AN$2:$AS$100,2,FALSE),
IF($AI$2="MC",VLOOKUP($A37,Consumables!$AN$2:$AS$100,3,FALSE),
IF($AI$2="BWL",VLOOKUP($A37,Consumables!$AN$2:$AS$100,4,FALSE),
IF($AI$2="AQ40",VLOOKUP($A37,Consumables!$AN$2:$AS$100,5,FALSE),
IF($AI$2="NAXX",VLOOKUP($A37,Consumables!$AN$2:$AS$100,6,FALSE),
IF($AI$2="X",0))))))+
(IF($AI$3="ONY",VLOOKUP($A37,Consumables!$AN$2:$AS$100,2,FALSE),
IF($AI$3="MC",VLOOKUP($A37,Consumables!$AN$2:$AS$100,3,FALSE),
IF($AI$3="BWL",VLOOKUP($A37,Consumables!$AN$2:$AS$100,4,FALSE),
IF($AI$3="AQ40",VLOOKUP($A37,Consumables!$AN$2:$AS$100,5,FALSE),
IF($AI$3="NAXX",VLOOKUP($A37,Consumables!$AN$2:$AS$100,6,FALSE),
IF($AI$3="X",0)))))))+
(IF($AI$4="ONY",VLOOKUP($A37,Consumables!$AN$2:$AS$100,2,FALSE),
IF($AI$4="MC",VLOOKUP($A37,Consumables!$AN$2:$AS$100,3,FALSE),
IF($AI$4="BWL",VLOOKUP($A37,Consumables!$AN$2:$AS$100,4,FALSE),
IF($AI$4="AQ40",VLOOKUP($A37,Consumables!$AN$2:$AS$100,5,FALSE),
IF($AI$4="NAXX",VLOOKUP($A37,Consumables!$AN$2:$AS$100,6,FALSE),
IF($AI$4="X",0,0))))))))</f>
        <v>0</v>
      </c>
      <c r="E37" s="3">
        <f t="shared" si="10"/>
        <v>0</v>
      </c>
      <c r="F37" s="1" t="s">
        <v>365</v>
      </c>
      <c r="G37" s="3">
        <v>2</v>
      </c>
      <c r="H37" s="1" t="s">
        <v>368</v>
      </c>
      <c r="I37" s="3">
        <v>3</v>
      </c>
      <c r="J37" s="1" t="s">
        <v>367</v>
      </c>
      <c r="K37" s="3">
        <v>1</v>
      </c>
      <c r="M37" s="3"/>
      <c r="O37" s="1" t="s">
        <v>365</v>
      </c>
      <c r="P37" s="3">
        <f t="shared" si="2"/>
        <v>0</v>
      </c>
      <c r="Q37" s="1" t="s">
        <v>368</v>
      </c>
      <c r="R37" s="3">
        <f t="shared" si="12"/>
        <v>0</v>
      </c>
      <c r="S37" s="1" t="s">
        <v>367</v>
      </c>
      <c r="T37" s="3">
        <f t="shared" si="13"/>
        <v>0</v>
      </c>
      <c r="V37" s="3">
        <f>M37*E37</f>
        <v>0</v>
      </c>
      <c r="X37" s="1" t="s">
        <v>390</v>
      </c>
      <c r="Y37" s="10">
        <f>IF(ISNA(VLOOKUP(X37,Scratch!$B$1:$C$3000,2,FALSE)),0,VLOOKUP(X37,Scratch!$B$1:$C$3000,2,FALSE))</f>
        <v>10</v>
      </c>
      <c r="Z37" s="3">
        <f t="shared" si="11"/>
        <v>10</v>
      </c>
      <c r="AA37" s="11">
        <f>R33+R38</f>
        <v>0</v>
      </c>
      <c r="AC37" s="15" t="s">
        <v>154</v>
      </c>
      <c r="AD37" s="10">
        <f>IF(ISNA(VLOOKUP(AC37,Scratch!$B$1:$C$3000,2,FALSE)),0,VLOOKUP(AC37,Scratch!$B$1:$C$3000,2,FALSE))</f>
        <v>0</v>
      </c>
      <c r="AE37" s="2">
        <f t="shared" si="9"/>
        <v>-18</v>
      </c>
      <c r="AF37" s="11">
        <f>(IF($AI$2="ONY",VLOOKUP($AC37,Consumables!$AN$2:$AS$100,2,FALSE),
IF($AI$2="MC",VLOOKUP($AC37,Consumables!$AN$2:$AS$100,3,FALSE),
IF($AI$2="BWL",VLOOKUP($AC37,Consumables!$AN$2:$AS$100,4,FALSE),
IF($AI$2="AQ40",VLOOKUP($AC37,Consumables!$AN$2:$AS$100,5,FALSE),
IF($AI$2="NAXX",VLOOKUP($AC37,Consumables!$AN$2:$AS$100,6,FALSE),
IF($AI$2="X",0))))))+
(IF($AI$3="ONY",VLOOKUP($AC37,Consumables!$AN$2:$AS$100,2,FALSE),
IF($AI$3="MC",VLOOKUP($AC37,Consumables!$AN$2:$AS$100,3,FALSE),
IF($AI$3="BWL",VLOOKUP($AC37,Consumables!$AN$2:$AS$100,4,FALSE),
IF($AI$3="AQ40",VLOOKUP($AC37,Consumables!$AN$2:$AS$100,5,FALSE),
IF($AI$3="NAXX",VLOOKUP($AC37,Consumables!$AN$2:$AS$100,6,FALSE),
IF($AI$3="X",0)))))))+
(IF($AI$4="ONY",VLOOKUP($AC37,Consumables!$AN$2:$AS$100,2,FALSE),
IF($AI$4="MC",VLOOKUP($AC37,Consumables!$AN$2:$AS$100,3,FALSE),
IF($AI$4="BWL",VLOOKUP($AC37,Consumables!$AN$2:$AS$100,4,FALSE),
IF($AI$4="AQ40",VLOOKUP($AC37,Consumables!$AN$2:$AS$100,5,FALSE),
IF($AI$4="NAXX",VLOOKUP($AC37,Consumables!$AN$2:$AS$100,6,FALSE),
IF($AI$4="X",0,0))))))))</f>
        <v>18</v>
      </c>
      <c r="AG37" s="11">
        <f t="shared" si="7"/>
        <v>18</v>
      </c>
      <c r="AN37" s="30" t="s">
        <v>66</v>
      </c>
      <c r="AO37" s="30">
        <v>0</v>
      </c>
      <c r="AP37" s="30">
        <v>0</v>
      </c>
      <c r="AQ37" s="30">
        <v>0</v>
      </c>
      <c r="AR37" s="30">
        <v>0</v>
      </c>
      <c r="AS37" s="30">
        <v>0</v>
      </c>
    </row>
    <row r="38" spans="1:45" x14ac:dyDescent="0.25">
      <c r="A38" s="1" t="s">
        <v>422</v>
      </c>
      <c r="B38" s="10">
        <f>IF(ISNA(VLOOKUP(A38,Scratch!$B$1:$C$3000,2,FALSE)),0,VLOOKUP(A38,Scratch!$B$1:$C$3000,2,FALSE))</f>
        <v>0</v>
      </c>
      <c r="C38" s="2">
        <f t="shared" si="0"/>
        <v>0</v>
      </c>
      <c r="D38" s="11">
        <f>(IF($AI$2="ONY",VLOOKUP($A38,Consumables!$AN$2:$AS$100,2,FALSE),
IF($AI$2="MC",VLOOKUP($A38,Consumables!$AN$2:$AS$100,3,FALSE),
IF($AI$2="BWL",VLOOKUP($A38,Consumables!$AN$2:$AS$100,4,FALSE),
IF($AI$2="AQ40",VLOOKUP($A38,Consumables!$AN$2:$AS$100,5,FALSE),
IF($AI$2="NAXX",VLOOKUP($A38,Consumables!$AN$2:$AS$100,6,FALSE),
IF($AI$2="X",0))))))+
(IF($AI$3="ONY",VLOOKUP($A38,Consumables!$AN$2:$AS$100,2,FALSE),
IF($AI$3="MC",VLOOKUP($A38,Consumables!$AN$2:$AS$100,3,FALSE),
IF($AI$3="BWL",VLOOKUP($A38,Consumables!$AN$2:$AS$100,4,FALSE),
IF($AI$3="AQ40",VLOOKUP($A38,Consumables!$AN$2:$AS$100,5,FALSE),
IF($AI$3="NAXX",VLOOKUP($A38,Consumables!$AN$2:$AS$100,6,FALSE),
IF($AI$3="X",0)))))))+
(IF($AI$4="ONY",VLOOKUP($A38,Consumables!$AN$2:$AS$100,2,FALSE),
IF($AI$4="MC",VLOOKUP($A38,Consumables!$AN$2:$AS$100,3,FALSE),
IF($AI$4="BWL",VLOOKUP($A38,Consumables!$AN$2:$AS$100,4,FALSE),
IF($AI$4="AQ40",VLOOKUP($A38,Consumables!$AN$2:$AS$100,5,FALSE),
IF($AI$4="NAXX",VLOOKUP($A38,Consumables!$AN$2:$AS$100,6,FALSE),
IF($AI$4="X",0,0))))))))</f>
        <v>0</v>
      </c>
      <c r="E38" s="3">
        <f t="shared" si="10"/>
        <v>0</v>
      </c>
      <c r="F38" s="1" t="s">
        <v>423</v>
      </c>
      <c r="G38" s="3">
        <v>1</v>
      </c>
      <c r="H38" s="1" t="s">
        <v>370</v>
      </c>
      <c r="I38" s="3">
        <v>1</v>
      </c>
      <c r="O38" s="1" t="s">
        <v>423</v>
      </c>
      <c r="P38" s="3">
        <f t="shared" si="2"/>
        <v>0</v>
      </c>
      <c r="Q38" s="1" t="s">
        <v>370</v>
      </c>
      <c r="R38" s="3">
        <f t="shared" si="12"/>
        <v>0</v>
      </c>
      <c r="T38" s="3">
        <f t="shared" si="13"/>
        <v>0</v>
      </c>
      <c r="X38" s="1" t="s">
        <v>424</v>
      </c>
      <c r="Y38" s="10">
        <f>IF(ISNA(VLOOKUP(X38,Scratch!$B$1:$C$3000,2,FALSE)),0,VLOOKUP(X38,Scratch!$B$1:$C$3000,2,FALSE))</f>
        <v>278</v>
      </c>
      <c r="Z38" s="3">
        <f t="shared" si="11"/>
        <v>278</v>
      </c>
      <c r="AA38" s="11">
        <f>P39+R46</f>
        <v>0</v>
      </c>
      <c r="AC38" s="15" t="s">
        <v>108</v>
      </c>
      <c r="AD38" s="10">
        <f>IF(ISNA(VLOOKUP(AC38,Scratch!$B$1:$C$3000,2,FALSE)),0,VLOOKUP(AC38,Scratch!$B$1:$C$3000,2,FALSE))</f>
        <v>18</v>
      </c>
      <c r="AE38" s="2">
        <f t="shared" si="9"/>
        <v>18</v>
      </c>
      <c r="AF38" s="11">
        <f>(IF($AI$2="ONY",VLOOKUP($AC38,Consumables!$AN$2:$AS$100,2,FALSE),
IF($AI$2="MC",VLOOKUP($AC38,Consumables!$AN$2:$AS$100,3,FALSE),
IF($AI$2="BWL",VLOOKUP($AC38,Consumables!$AN$2:$AS$100,4,FALSE),
IF($AI$2="AQ40",VLOOKUP($AC38,Consumables!$AN$2:$AS$100,5,FALSE),
IF($AI$2="NAXX",VLOOKUP($AC38,Consumables!$AN$2:$AS$100,6,FALSE),
IF($AI$2="X",0))))))+
(IF($AI$3="ONY",VLOOKUP($AC38,Consumables!$AN$2:$AS$100,2,FALSE),
IF($AI$3="MC",VLOOKUP($AC38,Consumables!$AN$2:$AS$100,3,FALSE),
IF($AI$3="BWL",VLOOKUP($AC38,Consumables!$AN$2:$AS$100,4,FALSE),
IF($AI$3="AQ40",VLOOKUP($AC38,Consumables!$AN$2:$AS$100,5,FALSE),
IF($AI$3="NAXX",VLOOKUP($AC38,Consumables!$AN$2:$AS$100,6,FALSE),
IF($AI$3="X",0)))))))+
(IF($AI$4="ONY",VLOOKUP($AC38,Consumables!$AN$2:$AS$100,2,FALSE),
IF($AI$4="MC",VLOOKUP($AC38,Consumables!$AN$2:$AS$100,3,FALSE),
IF($AI$4="BWL",VLOOKUP($AC38,Consumables!$AN$2:$AS$100,4,FALSE),
IF($AI$4="AQ40",VLOOKUP($AC38,Consumables!$AN$2:$AS$100,5,FALSE),
IF($AI$4="NAXX",VLOOKUP($AC38,Consumables!$AN$2:$AS$100,6,FALSE),
IF($AI$4="X",0,0))))))))</f>
        <v>0</v>
      </c>
      <c r="AG38" s="11">
        <f t="shared" si="7"/>
        <v>0</v>
      </c>
      <c r="AN38" s="30" t="s">
        <v>100</v>
      </c>
      <c r="AO38" s="30">
        <v>0</v>
      </c>
      <c r="AP38" s="30">
        <v>1</v>
      </c>
      <c r="AQ38" s="30">
        <v>1</v>
      </c>
      <c r="AR38" s="30">
        <v>1</v>
      </c>
      <c r="AS38" s="30">
        <v>1</v>
      </c>
    </row>
    <row r="39" spans="1:45" x14ac:dyDescent="0.25">
      <c r="A39" s="1" t="s">
        <v>330</v>
      </c>
      <c r="B39" s="10">
        <f>IF(ISNA(VLOOKUP(A39,Scratch!$B$1:$C$3000,2,FALSE)),0,VLOOKUP(A39,Scratch!$B$1:$C$3000,2,FALSE))</f>
        <v>22</v>
      </c>
      <c r="C39" s="2">
        <f t="shared" si="0"/>
        <v>22</v>
      </c>
      <c r="D39" s="11">
        <f>(IF($AI$2="ONY",VLOOKUP($A39,Consumables!$AN$2:$AS$100,2,FALSE),
IF($AI$2="MC",VLOOKUP($A39,Consumables!$AN$2:$AS$100,3,FALSE),
IF($AI$2="BWL",VLOOKUP($A39,Consumables!$AN$2:$AS$100,4,FALSE),
IF($AI$2="AQ40",VLOOKUP($A39,Consumables!$AN$2:$AS$100,5,FALSE),
IF($AI$2="NAXX",VLOOKUP($A39,Consumables!$AN$2:$AS$100,6,FALSE),
IF($AI$2="X",0))))))+
(IF($AI$3="ONY",VLOOKUP($A39,Consumables!$AN$2:$AS$100,2,FALSE),
IF($AI$3="MC",VLOOKUP($A39,Consumables!$AN$2:$AS$100,3,FALSE),
IF($AI$3="BWL",VLOOKUP($A39,Consumables!$AN$2:$AS$100,4,FALSE),
IF($AI$3="AQ40",VLOOKUP($A39,Consumables!$AN$2:$AS$100,5,FALSE),
IF($AI$3="NAXX",VLOOKUP($A39,Consumables!$AN$2:$AS$100,6,FALSE),
IF($AI$3="X",0)))))))+
(IF($AI$4="ONY",VLOOKUP($A39,Consumables!$AN$2:$AS$100,2,FALSE),
IF($AI$4="MC",VLOOKUP($A39,Consumables!$AN$2:$AS$100,3,FALSE),
IF($AI$4="BWL",VLOOKUP($A39,Consumables!$AN$2:$AS$100,4,FALSE),
IF($AI$4="AQ40",VLOOKUP($A39,Consumables!$AN$2:$AS$100,5,FALSE),
IF($AI$4="NAXX",VLOOKUP($A39,Consumables!$AN$2:$AS$100,6,FALSE),
IF($AI$4="X",0,0))))))))</f>
        <v>0</v>
      </c>
      <c r="E39" s="3">
        <f t="shared" si="10"/>
        <v>0</v>
      </c>
      <c r="F39" s="1" t="s">
        <v>270</v>
      </c>
      <c r="G39" s="3">
        <v>2</v>
      </c>
      <c r="I39" s="3"/>
      <c r="K39" s="3"/>
      <c r="O39" s="1" t="s">
        <v>270</v>
      </c>
      <c r="P39" s="3">
        <f t="shared" si="2"/>
        <v>0</v>
      </c>
      <c r="R39" s="3">
        <f t="shared" si="12"/>
        <v>0</v>
      </c>
      <c r="T39" s="3">
        <f t="shared" si="13"/>
        <v>0</v>
      </c>
      <c r="X39" s="1" t="s">
        <v>188</v>
      </c>
      <c r="Y39" s="10">
        <f>IF(ISNA(VLOOKUP(X39,Scratch!$B$1:$C$3000,2,FALSE)),0,VLOOKUP(X39,Scratch!$B$1:$C$3000,2,FALSE))</f>
        <v>1</v>
      </c>
      <c r="Z39" s="3">
        <f t="shared" si="11"/>
        <v>1</v>
      </c>
      <c r="AA39" s="11">
        <f>P31</f>
        <v>0</v>
      </c>
      <c r="AC39" s="15" t="s">
        <v>381</v>
      </c>
      <c r="AD39" s="10">
        <f>IF(ISNA(VLOOKUP(AC39,Scratch!$B$1:$C$3000,2,FALSE)),0,VLOOKUP(AC39,Scratch!$B$1:$C$3000,2,FALSE))</f>
        <v>10</v>
      </c>
      <c r="AE39" s="2">
        <f t="shared" si="9"/>
        <v>10</v>
      </c>
      <c r="AF39" s="11">
        <f>(IF($AI$2="ONY",VLOOKUP($AC39,Consumables!$AN$2:$AS$100,2,FALSE),
IF($AI$2="MC",VLOOKUP($AC39,Consumables!$AN$2:$AS$100,3,FALSE),
IF($AI$2="BWL",VLOOKUP($AC39,Consumables!$AN$2:$AS$100,4,FALSE),
IF($AI$2="AQ40",VLOOKUP($AC39,Consumables!$AN$2:$AS$100,5,FALSE),
IF($AI$2="NAXX",VLOOKUP($AC39,Consumables!$AN$2:$AS$100,6,FALSE),
IF($AI$2="X",0))))))+
(IF($AI$3="ONY",VLOOKUP($AC39,Consumables!$AN$2:$AS$100,2,FALSE),
IF($AI$3="MC",VLOOKUP($AC39,Consumables!$AN$2:$AS$100,3,FALSE),
IF($AI$3="BWL",VLOOKUP($AC39,Consumables!$AN$2:$AS$100,4,FALSE),
IF($AI$3="AQ40",VLOOKUP($AC39,Consumables!$AN$2:$AS$100,5,FALSE),
IF($AI$3="NAXX",VLOOKUP($AC39,Consumables!$AN$2:$AS$100,6,FALSE),
IF($AI$3="X",0)))))))+
(IF($AI$4="ONY",VLOOKUP($AC39,Consumables!$AN$2:$AS$100,2,FALSE),
IF($AI$4="MC",VLOOKUP($AC39,Consumables!$AN$2:$AS$100,3,FALSE),
IF($AI$4="BWL",VLOOKUP($AC39,Consumables!$AN$2:$AS$100,4,FALSE),
IF($AI$4="AQ40",VLOOKUP($AC39,Consumables!$AN$2:$AS$100,5,FALSE),
IF($AI$4="NAXX",VLOOKUP($AC39,Consumables!$AN$2:$AS$100,6,FALSE),
IF($AI$4="X",0,0))))))))</f>
        <v>0</v>
      </c>
      <c r="AG39" s="11">
        <f t="shared" si="7"/>
        <v>0</v>
      </c>
      <c r="AN39" s="30" t="s">
        <v>330</v>
      </c>
      <c r="AO39" s="30">
        <v>0</v>
      </c>
      <c r="AP39" s="30">
        <v>0</v>
      </c>
      <c r="AQ39" s="30">
        <v>0</v>
      </c>
      <c r="AR39" s="30">
        <v>0</v>
      </c>
      <c r="AS39" s="30">
        <v>10</v>
      </c>
    </row>
    <row r="40" spans="1:45" x14ac:dyDescent="0.25">
      <c r="A40" s="1" t="s">
        <v>102</v>
      </c>
      <c r="B40" s="10">
        <f>IF(ISNA(VLOOKUP(A40,Scratch!$B$1:$C$3000,2,FALSE)),0,VLOOKUP(A40,Scratch!$B$1:$C$3000,2,FALSE))</f>
        <v>1</v>
      </c>
      <c r="C40" s="2">
        <f t="shared" si="0"/>
        <v>0</v>
      </c>
      <c r="D40" s="11">
        <f>(IF($AI$2="ONY",VLOOKUP($A40,Consumables!$AN$2:$AS$100,2,FALSE),
IF($AI$2="MC",VLOOKUP($A40,Consumables!$AN$2:$AS$100,3,FALSE),
IF($AI$2="BWL",VLOOKUP($A40,Consumables!$AN$2:$AS$100,4,FALSE),
IF($AI$2="AQ40",VLOOKUP($A40,Consumables!$AN$2:$AS$100,5,FALSE),
IF($AI$2="NAXX",VLOOKUP($A40,Consumables!$AN$2:$AS$100,6,FALSE),
IF($AI$2="X",0))))))+
(IF($AI$3="ONY",VLOOKUP($A40,Consumables!$AN$2:$AS$100,2,FALSE),
IF($AI$3="MC",VLOOKUP($A40,Consumables!$AN$2:$AS$100,3,FALSE),
IF($AI$3="BWL",VLOOKUP($A40,Consumables!$AN$2:$AS$100,4,FALSE),
IF($AI$3="AQ40",VLOOKUP($A40,Consumables!$AN$2:$AS$100,5,FALSE),
IF($AI$3="NAXX",VLOOKUP($A40,Consumables!$AN$2:$AS$100,6,FALSE),
IF($AI$3="X",0)))))))+
(IF($AI$4="ONY",VLOOKUP($A40,Consumables!$AN$2:$AS$100,2,FALSE),
IF($AI$4="MC",VLOOKUP($A40,Consumables!$AN$2:$AS$100,3,FALSE),
IF($AI$4="BWL",VLOOKUP($A40,Consumables!$AN$2:$AS$100,4,FALSE),
IF($AI$4="AQ40",VLOOKUP($A40,Consumables!$AN$2:$AS$100,5,FALSE),
IF($AI$4="NAXX",VLOOKUP($A40,Consumables!$AN$2:$AS$100,6,FALSE),
IF($AI$4="X",0,0))))))))</f>
        <v>1</v>
      </c>
      <c r="E40" s="3">
        <f t="shared" si="10"/>
        <v>0</v>
      </c>
      <c r="F40" s="1" t="s">
        <v>199</v>
      </c>
      <c r="G40" s="1">
        <v>1</v>
      </c>
      <c r="H40" s="1" t="s">
        <v>200</v>
      </c>
      <c r="I40" s="1">
        <v>3</v>
      </c>
      <c r="J40" s="1" t="s">
        <v>201</v>
      </c>
      <c r="K40" s="1">
        <v>2</v>
      </c>
      <c r="L40" s="8"/>
      <c r="O40" s="1" t="s">
        <v>199</v>
      </c>
      <c r="P40" s="3">
        <f t="shared" si="2"/>
        <v>0</v>
      </c>
      <c r="Q40" s="1" t="s">
        <v>200</v>
      </c>
      <c r="R40" s="3">
        <f t="shared" si="12"/>
        <v>0</v>
      </c>
      <c r="S40" s="1" t="s">
        <v>201</v>
      </c>
      <c r="T40" s="3">
        <f t="shared" si="13"/>
        <v>0</v>
      </c>
      <c r="X40" s="1" t="s">
        <v>383</v>
      </c>
      <c r="Y40" s="10">
        <f>IF(ISNA(VLOOKUP(X40,Scratch!$B$1:$C$3000,2,FALSE)),0,VLOOKUP(X40,Scratch!$B$1:$C$3000,2,FALSE))</f>
        <v>0</v>
      </c>
      <c r="Z40" s="3">
        <f t="shared" si="11"/>
        <v>0</v>
      </c>
      <c r="AA40" s="11">
        <f>P32</f>
        <v>0</v>
      </c>
      <c r="AN40" s="30" t="s">
        <v>253</v>
      </c>
      <c r="AO40" s="30">
        <v>0</v>
      </c>
      <c r="AP40" s="30">
        <v>0</v>
      </c>
      <c r="AQ40" s="30">
        <v>10</v>
      </c>
      <c r="AR40" s="30">
        <v>0</v>
      </c>
      <c r="AS40" s="30">
        <v>0</v>
      </c>
    </row>
    <row r="41" spans="1:45" x14ac:dyDescent="0.25">
      <c r="A41" s="1" t="s">
        <v>100</v>
      </c>
      <c r="B41" s="10">
        <f>IF(ISNA(VLOOKUP(A41,Scratch!$B$1:$C$3000,2,FALSE)),0,VLOOKUP(A41,Scratch!$B$1:$C$3000,2,FALSE))</f>
        <v>1</v>
      </c>
      <c r="C41" s="2">
        <f t="shared" si="0"/>
        <v>0</v>
      </c>
      <c r="D41" s="11">
        <f>(IF($AI$2="ONY",VLOOKUP($A41,Consumables!$AN$2:$AS$100,2,FALSE),
IF($AI$2="MC",VLOOKUP($A41,Consumables!$AN$2:$AS$100,3,FALSE),
IF($AI$2="BWL",VLOOKUP($A41,Consumables!$AN$2:$AS$100,4,FALSE),
IF($AI$2="AQ40",VLOOKUP($A41,Consumables!$AN$2:$AS$100,5,FALSE),
IF($AI$2="NAXX",VLOOKUP($A41,Consumables!$AN$2:$AS$100,6,FALSE),
IF($AI$2="X",0))))))+
(IF($AI$3="ONY",VLOOKUP($A41,Consumables!$AN$2:$AS$100,2,FALSE),
IF($AI$3="MC",VLOOKUP($A41,Consumables!$AN$2:$AS$100,3,FALSE),
IF($AI$3="BWL",VLOOKUP($A41,Consumables!$AN$2:$AS$100,4,FALSE),
IF($AI$3="AQ40",VLOOKUP($A41,Consumables!$AN$2:$AS$100,5,FALSE),
IF($AI$3="NAXX",VLOOKUP($A41,Consumables!$AN$2:$AS$100,6,FALSE),
IF($AI$3="X",0)))))))+
(IF($AI$4="ONY",VLOOKUP($A41,Consumables!$AN$2:$AS$100,2,FALSE),
IF($AI$4="MC",VLOOKUP($A41,Consumables!$AN$2:$AS$100,3,FALSE),
IF($AI$4="BWL",VLOOKUP($A41,Consumables!$AN$2:$AS$100,4,FALSE),
IF($AI$4="AQ40",VLOOKUP($A41,Consumables!$AN$2:$AS$100,5,FALSE),
IF($AI$4="NAXX",VLOOKUP($A41,Consumables!$AN$2:$AS$100,6,FALSE),
IF($AI$4="X",0,0))))))))</f>
        <v>1</v>
      </c>
      <c r="E41" s="3">
        <f t="shared" si="10"/>
        <v>0</v>
      </c>
      <c r="F41" s="1" t="s">
        <v>199</v>
      </c>
      <c r="G41" s="1">
        <v>3</v>
      </c>
      <c r="H41" s="1" t="s">
        <v>202</v>
      </c>
      <c r="I41" s="1">
        <v>2</v>
      </c>
      <c r="J41" s="1" t="s">
        <v>201</v>
      </c>
      <c r="K41" s="1">
        <v>1</v>
      </c>
      <c r="L41" s="8"/>
      <c r="O41" s="1" t="s">
        <v>199</v>
      </c>
      <c r="P41" s="3">
        <f t="shared" si="2"/>
        <v>0</v>
      </c>
      <c r="Q41" s="1" t="s">
        <v>202</v>
      </c>
      <c r="R41" s="3">
        <f t="shared" si="12"/>
        <v>0</v>
      </c>
      <c r="S41" s="1" t="s">
        <v>201</v>
      </c>
      <c r="T41" s="3">
        <f t="shared" si="13"/>
        <v>0</v>
      </c>
      <c r="X41" s="1" t="s">
        <v>432</v>
      </c>
      <c r="Y41" s="10">
        <f>IF(ISNA(VLOOKUP(X41,Scratch!$B$1:$C$3000,2,FALSE)),0,VLOOKUP(X41,Scratch!$B$1:$C$3000,2,FALSE))</f>
        <v>6</v>
      </c>
      <c r="Z41" s="3">
        <f t="shared" si="11"/>
        <v>6</v>
      </c>
      <c r="AA41" s="11">
        <f>P117</f>
        <v>0</v>
      </c>
      <c r="AN41" s="30" t="s">
        <v>381</v>
      </c>
      <c r="AO41" s="30">
        <v>0</v>
      </c>
      <c r="AP41" s="30">
        <v>0</v>
      </c>
      <c r="AQ41" s="30">
        <v>0</v>
      </c>
      <c r="AR41" s="30">
        <v>0</v>
      </c>
      <c r="AS41" s="30">
        <v>0</v>
      </c>
    </row>
    <row r="42" spans="1:45" x14ac:dyDescent="0.25">
      <c r="A42" s="1" t="s">
        <v>244</v>
      </c>
      <c r="B42" s="10">
        <f>IF(ISNA(VLOOKUP(A42,Scratch!$B$1:$C$3000,2,FALSE)),0,VLOOKUP(A42,Scratch!$B$1:$C$3000,2,FALSE))</f>
        <v>14</v>
      </c>
      <c r="C42" s="2">
        <f>B42-D42</f>
        <v>9</v>
      </c>
      <c r="D42" s="11">
        <f>(IF($AI$2="ONY",VLOOKUP($A42,Consumables!$AN$2:$AS$100,2,FALSE),
IF($AI$2="MC",VLOOKUP($A42,Consumables!$AN$2:$AS$100,3,FALSE),
IF($AI$2="BWL",VLOOKUP($A42,Consumables!$AN$2:$AS$100,4,FALSE),
IF($AI$2="AQ40",VLOOKUP($A42,Consumables!$AN$2:$AS$100,5,FALSE),
IF($AI$2="NAXX",VLOOKUP($A42,Consumables!$AN$2:$AS$100,6,FALSE),
IF($AI$2="X",0))))))+
(IF($AI$3="ONY",VLOOKUP($A42,Consumables!$AN$2:$AS$100,2,FALSE),
IF($AI$3="MC",VLOOKUP($A42,Consumables!$AN$2:$AS$100,3,FALSE),
IF($AI$3="BWL",VLOOKUP($A42,Consumables!$AN$2:$AS$100,4,FALSE),
IF($AI$3="AQ40",VLOOKUP($A42,Consumables!$AN$2:$AS$100,5,FALSE),
IF($AI$3="NAXX",VLOOKUP($A42,Consumables!$AN$2:$AS$100,6,FALSE),
IF($AI$3="X",0)))))))+
(IF($AI$4="ONY",VLOOKUP($A42,Consumables!$AN$2:$AS$100,2,FALSE),
IF($AI$4="MC",VLOOKUP($A42,Consumables!$AN$2:$AS$100,3,FALSE),
IF($AI$4="BWL",VLOOKUP($A42,Consumables!$AN$2:$AS$100,4,FALSE),
IF($AI$4="AQ40",VLOOKUP($A42,Consumables!$AN$2:$AS$100,5,FALSE),
IF($AI$4="NAXX",VLOOKUP($A42,Consumables!$AN$2:$AS$100,6,FALSE),
IF($AI$4="X",0,0))))))))</f>
        <v>5</v>
      </c>
      <c r="E42" s="3">
        <f>IF(D42-B42&lt;0,0,D42-B42)</f>
        <v>0</v>
      </c>
      <c r="F42" s="1" t="s">
        <v>428</v>
      </c>
      <c r="G42" s="3">
        <v>1</v>
      </c>
      <c r="H42" s="1" t="s">
        <v>350</v>
      </c>
      <c r="I42" s="3">
        <v>3</v>
      </c>
      <c r="J42" s="1" t="s">
        <v>352</v>
      </c>
      <c r="K42" s="3">
        <v>1</v>
      </c>
      <c r="O42" s="1" t="s">
        <v>428</v>
      </c>
      <c r="P42" s="3">
        <f>E42*G42</f>
        <v>0</v>
      </c>
      <c r="Q42" s="1" t="s">
        <v>350</v>
      </c>
      <c r="R42" s="3">
        <f t="shared" si="12"/>
        <v>0</v>
      </c>
      <c r="S42" s="1" t="s">
        <v>352</v>
      </c>
      <c r="T42" s="3">
        <f t="shared" si="13"/>
        <v>0</v>
      </c>
      <c r="X42" s="1" t="s">
        <v>382</v>
      </c>
      <c r="Y42" s="10">
        <f>IF(ISNA(VLOOKUP(X42,Scratch!$B$1:$C$3000,2,FALSE)),0,VLOOKUP(X42,Scratch!$B$1:$C$3000,2,FALSE))</f>
        <v>0</v>
      </c>
      <c r="Z42" s="3">
        <f t="shared" si="11"/>
        <v>0</v>
      </c>
      <c r="AA42" s="11">
        <f>R35+R32+R31</f>
        <v>0</v>
      </c>
      <c r="AN42" s="30" t="s">
        <v>108</v>
      </c>
      <c r="AO42" s="30">
        <v>0</v>
      </c>
      <c r="AP42" s="30">
        <v>7</v>
      </c>
      <c r="AQ42" s="30">
        <v>7</v>
      </c>
      <c r="AR42" s="30">
        <v>0</v>
      </c>
      <c r="AS42" s="30">
        <v>1</v>
      </c>
    </row>
    <row r="43" spans="1:45" x14ac:dyDescent="0.25">
      <c r="A43" s="1" t="s">
        <v>269</v>
      </c>
      <c r="B43" s="10">
        <f>IF(ISNA(VLOOKUP(A43,Scratch!$B$1:$C$3000,2,FALSE)),0,VLOOKUP(A43,Scratch!$B$1:$C$3000,2,FALSE))</f>
        <v>8</v>
      </c>
      <c r="C43" s="2">
        <f>B43-D43</f>
        <v>8</v>
      </c>
      <c r="D43" s="11">
        <f>(IF($AI$2="ONY",VLOOKUP($A43,Consumables!$AN$2:$AS$100,2,FALSE),
IF($AI$2="MC",VLOOKUP($A43,Consumables!$AN$2:$AS$100,3,FALSE),
IF($AI$2="BWL",VLOOKUP($A43,Consumables!$AN$2:$AS$100,4,FALSE),
IF($AI$2="AQ40",VLOOKUP($A43,Consumables!$AN$2:$AS$100,5,FALSE),
IF($AI$2="NAXX",VLOOKUP($A43,Consumables!$AN$2:$AS$100,6,FALSE),
IF($AI$2="X",0))))))+
(IF($AI$3="ONY",VLOOKUP($A43,Consumables!$AN$2:$AS$100,2,FALSE),
IF($AI$3="MC",VLOOKUP($A43,Consumables!$AN$2:$AS$100,3,FALSE),
IF($AI$3="BWL",VLOOKUP($A43,Consumables!$AN$2:$AS$100,4,FALSE),
IF($AI$3="AQ40",VLOOKUP($A43,Consumables!$AN$2:$AS$100,5,FALSE),
IF($AI$3="NAXX",VLOOKUP($A43,Consumables!$AN$2:$AS$100,6,FALSE),
IF($AI$3="X",0)))))))+
(IF($AI$4="ONY",VLOOKUP($A43,Consumables!$AN$2:$AS$100,2,FALSE),
IF($AI$4="MC",VLOOKUP($A43,Consumables!$AN$2:$AS$100,3,FALSE),
IF($AI$4="BWL",VLOOKUP($A43,Consumables!$AN$2:$AS$100,4,FALSE),
IF($AI$4="AQ40",VLOOKUP($A43,Consumables!$AN$2:$AS$100,5,FALSE),
IF($AI$4="NAXX",VLOOKUP($A43,Consumables!$AN$2:$AS$100,6,FALSE),
IF($AI$4="X",0,0))))))))</f>
        <v>0</v>
      </c>
      <c r="E43" s="3">
        <f>IF(D43-B43&lt;0,0,D43-B43)</f>
        <v>0</v>
      </c>
      <c r="F43" s="1" t="s">
        <v>427</v>
      </c>
      <c r="G43" s="3">
        <v>3</v>
      </c>
      <c r="I43" s="3"/>
      <c r="K43" s="3"/>
      <c r="O43" s="1" t="s">
        <v>427</v>
      </c>
      <c r="P43" s="3">
        <f>E43*G43</f>
        <v>0</v>
      </c>
      <c r="R43" s="3">
        <f t="shared" si="12"/>
        <v>0</v>
      </c>
      <c r="T43" s="3">
        <f t="shared" si="13"/>
        <v>0</v>
      </c>
      <c r="X43" s="1" t="s">
        <v>45</v>
      </c>
      <c r="Y43" s="10">
        <f>IF(ISNA(VLOOKUP(X43,Scratch!$B$1:$C$3000,2,FALSE)),0,VLOOKUP(X43,Scratch!$B$1:$C$3000,2,FALSE))</f>
        <v>17</v>
      </c>
      <c r="Z43" s="3">
        <f t="shared" si="11"/>
        <v>17</v>
      </c>
      <c r="AA43" s="11">
        <f>P104</f>
        <v>0</v>
      </c>
      <c r="AN43" s="30" t="s">
        <v>154</v>
      </c>
      <c r="AO43" s="30">
        <v>0</v>
      </c>
      <c r="AP43" s="30">
        <v>18</v>
      </c>
      <c r="AQ43" s="30">
        <v>18</v>
      </c>
      <c r="AR43" s="30">
        <v>18</v>
      </c>
      <c r="AS43" s="30">
        <v>18</v>
      </c>
    </row>
    <row r="44" spans="1:45" x14ac:dyDescent="0.25">
      <c r="A44" s="1" t="s">
        <v>291</v>
      </c>
      <c r="B44" s="10">
        <f>IF(ISNA(VLOOKUP(A44,Scratch!$B$1:$C$3000,2,FALSE)),0,VLOOKUP(A44,Scratch!$B$1:$C$3000,2,FALSE))</f>
        <v>8</v>
      </c>
      <c r="C44" s="2">
        <f t="shared" ref="C44:C49" si="14">B44-D44</f>
        <v>2</v>
      </c>
      <c r="D44" s="11">
        <f>(IF($AI$2="ONY",VLOOKUP($A44,Consumables!$AN$2:$AS$100,2,FALSE),
IF($AI$2="MC",VLOOKUP($A44,Consumables!$AN$2:$AS$100,3,FALSE),
IF($AI$2="BWL",VLOOKUP($A44,Consumables!$AN$2:$AS$100,4,FALSE),
IF($AI$2="AQ40",VLOOKUP($A44,Consumables!$AN$2:$AS$100,5,FALSE),
IF($AI$2="NAXX",VLOOKUP($A44,Consumables!$AN$2:$AS$100,6,FALSE),
IF($AI$2="X",0))))))+
(IF($AI$3="ONY",VLOOKUP($A44,Consumables!$AN$2:$AS$100,2,FALSE),
IF($AI$3="MC",VLOOKUP($A44,Consumables!$AN$2:$AS$100,3,FALSE),
IF($AI$3="BWL",VLOOKUP($A44,Consumables!$AN$2:$AS$100,4,FALSE),
IF($AI$3="AQ40",VLOOKUP($A44,Consumables!$AN$2:$AS$100,5,FALSE),
IF($AI$3="NAXX",VLOOKUP($A44,Consumables!$AN$2:$AS$100,6,FALSE),
IF($AI$3="X",0)))))))+
(IF($AI$4="ONY",VLOOKUP($A44,Consumables!$AN$2:$AS$100,2,FALSE),
IF($AI$4="MC",VLOOKUP($A44,Consumables!$AN$2:$AS$100,3,FALSE),
IF($AI$4="BWL",VLOOKUP($A44,Consumables!$AN$2:$AS$100,4,FALSE),
IF($AI$4="AQ40",VLOOKUP($A44,Consumables!$AN$2:$AS$100,5,FALSE),
IF($AI$4="NAXX",VLOOKUP($A44,Consumables!$AN$2:$AS$100,6,FALSE),
IF($AI$4="X",0,0))))))))</f>
        <v>6</v>
      </c>
      <c r="E44" s="3">
        <f t="shared" ref="E44:E49" si="15">IF(D44-B44&lt;0,0,D44-B44)</f>
        <v>0</v>
      </c>
      <c r="F44" s="1" t="s">
        <v>24</v>
      </c>
      <c r="G44" s="3">
        <v>2</v>
      </c>
      <c r="H44" s="1" t="s">
        <v>319</v>
      </c>
      <c r="I44" s="3">
        <v>3</v>
      </c>
      <c r="K44" s="3"/>
      <c r="M44" s="3"/>
      <c r="O44" s="1" t="s">
        <v>24</v>
      </c>
      <c r="P44" s="3">
        <f t="shared" ref="P44:P49" si="16">E44*G44</f>
        <v>0</v>
      </c>
      <c r="Q44" s="1" t="s">
        <v>319</v>
      </c>
      <c r="R44" s="3">
        <f t="shared" si="12"/>
        <v>0</v>
      </c>
      <c r="T44" s="3">
        <f t="shared" si="13"/>
        <v>0</v>
      </c>
      <c r="X44" s="1" t="s">
        <v>254</v>
      </c>
      <c r="Y44" s="10">
        <f>IF(ISNA(VLOOKUP(X44,Scratch!$B$1:$C$3000,2,FALSE)),0,VLOOKUP(X44,Scratch!$B$1:$C$3000,2,FALSE))</f>
        <v>17</v>
      </c>
      <c r="Z44" s="3">
        <f t="shared" si="11"/>
        <v>17</v>
      </c>
      <c r="AA44" s="11">
        <f>R26+R28</f>
        <v>0</v>
      </c>
      <c r="AN44" s="30" t="s">
        <v>111</v>
      </c>
      <c r="AO44" s="30">
        <v>0</v>
      </c>
      <c r="AP44" s="30">
        <v>0</v>
      </c>
      <c r="AQ44" s="30">
        <v>0</v>
      </c>
      <c r="AR44" s="30">
        <v>0</v>
      </c>
      <c r="AS44" s="30">
        <v>0</v>
      </c>
    </row>
    <row r="45" spans="1:45" x14ac:dyDescent="0.25">
      <c r="A45" s="1" t="s">
        <v>421</v>
      </c>
      <c r="B45" s="10">
        <f>IF(ISNA(VLOOKUP(A45,Scratch!$B$1:$C$3000,2,FALSE)),0,VLOOKUP(A45,Scratch!$B$1:$C$3000,2,FALSE))</f>
        <v>0</v>
      </c>
      <c r="C45" s="2">
        <f t="shared" si="14"/>
        <v>0</v>
      </c>
      <c r="D45" s="11">
        <f>(IF($AI$2="ONY",VLOOKUP($A45,Consumables!$AN$2:$AS$100,2,FALSE),
IF($AI$2="MC",VLOOKUP($A45,Consumables!$AN$2:$AS$100,3,FALSE),
IF($AI$2="BWL",VLOOKUP($A45,Consumables!$AN$2:$AS$100,4,FALSE),
IF($AI$2="AQ40",VLOOKUP($A45,Consumables!$AN$2:$AS$100,5,FALSE),
IF($AI$2="NAXX",VLOOKUP($A45,Consumables!$AN$2:$AS$100,6,FALSE),
IF($AI$2="X",0))))))+
(IF($AI$3="ONY",VLOOKUP($A45,Consumables!$AN$2:$AS$100,2,FALSE),
IF($AI$3="MC",VLOOKUP($A45,Consumables!$AN$2:$AS$100,3,FALSE),
IF($AI$3="BWL",VLOOKUP($A45,Consumables!$AN$2:$AS$100,4,FALSE),
IF($AI$3="AQ40",VLOOKUP($A45,Consumables!$AN$2:$AS$100,5,FALSE),
IF($AI$3="NAXX",VLOOKUP($A45,Consumables!$AN$2:$AS$100,6,FALSE),
IF($AI$3="X",0)))))))+
(IF($AI$4="ONY",VLOOKUP($A45,Consumables!$AN$2:$AS$100,2,FALSE),
IF($AI$4="MC",VLOOKUP($A45,Consumables!$AN$2:$AS$100,3,FALSE),
IF($AI$4="BWL",VLOOKUP($A45,Consumables!$AN$2:$AS$100,4,FALSE),
IF($AI$4="AQ40",VLOOKUP($A45,Consumables!$AN$2:$AS$100,5,FALSE),
IF($AI$4="NAXX",VLOOKUP($A45,Consumables!$AN$2:$AS$100,6,FALSE),
IF($AI$4="X",0,0))))))))</f>
        <v>0</v>
      </c>
      <c r="E45" s="3">
        <f t="shared" si="15"/>
        <v>0</v>
      </c>
      <c r="F45" s="1" t="s">
        <v>319</v>
      </c>
      <c r="G45" s="3">
        <v>1</v>
      </c>
      <c r="I45" s="3"/>
      <c r="O45" s="1" t="s">
        <v>319</v>
      </c>
      <c r="P45" s="3">
        <f t="shared" si="16"/>
        <v>0</v>
      </c>
      <c r="R45" s="3">
        <f t="shared" si="12"/>
        <v>0</v>
      </c>
      <c r="X45" s="1" t="s">
        <v>65</v>
      </c>
      <c r="Y45" s="10">
        <f>IF(ISNA(VLOOKUP(X45,Scratch!$B$1:$C$3000,2,FALSE)),0,VLOOKUP(X45,Scratch!$B$1:$C$3000,2,FALSE))</f>
        <v>20</v>
      </c>
      <c r="Z45" s="3">
        <f t="shared" si="11"/>
        <v>20</v>
      </c>
      <c r="AA45" s="11">
        <f>P19+R14+P20</f>
        <v>0</v>
      </c>
      <c r="AN45" s="30" t="s">
        <v>153</v>
      </c>
      <c r="AO45" s="30">
        <v>0</v>
      </c>
      <c r="AP45" s="30">
        <v>6</v>
      </c>
      <c r="AQ45" s="30">
        <v>10</v>
      </c>
      <c r="AR45" s="30">
        <v>10</v>
      </c>
      <c r="AS45" s="30">
        <v>10</v>
      </c>
    </row>
    <row r="46" spans="1:45" x14ac:dyDescent="0.25">
      <c r="A46" s="1" t="s">
        <v>448</v>
      </c>
      <c r="B46" s="10">
        <f>IF(ISNA(VLOOKUP(A46,Scratch!$B$1:$C$3000,2,FALSE)),0,VLOOKUP(A46,Scratch!$B$1:$C$3000,2,FALSE))</f>
        <v>0</v>
      </c>
      <c r="C46" s="2">
        <f t="shared" si="14"/>
        <v>0</v>
      </c>
      <c r="D46" s="11">
        <f>(IF($AI$2="ONY",VLOOKUP($A46,Consumables!$AN$2:$AS$100,2,FALSE),
IF($AI$2="MC",VLOOKUP($A46,Consumables!$AN$2:$AS$100,3,FALSE),
IF($AI$2="BWL",VLOOKUP($A46,Consumables!$AN$2:$AS$100,4,FALSE),
IF($AI$2="AQ40",VLOOKUP($A46,Consumables!$AN$2:$AS$100,5,FALSE),
IF($AI$2="NAXX",VLOOKUP($A46,Consumables!$AN$2:$AS$100,6,FALSE),
IF($AI$2="X",0))))))+
(IF($AI$3="ONY",VLOOKUP($A46,Consumables!$AN$2:$AS$100,2,FALSE),
IF($AI$3="MC",VLOOKUP($A46,Consumables!$AN$2:$AS$100,3,FALSE),
IF($AI$3="BWL",VLOOKUP($A46,Consumables!$AN$2:$AS$100,4,FALSE),
IF($AI$3="AQ40",VLOOKUP($A46,Consumables!$AN$2:$AS$100,5,FALSE),
IF($AI$3="NAXX",VLOOKUP($A46,Consumables!$AN$2:$AS$100,6,FALSE),
IF($AI$3="X",0)))))))+
(IF($AI$4="ONY",VLOOKUP($A46,Consumables!$AN$2:$AS$100,2,FALSE),
IF($AI$4="MC",VLOOKUP($A46,Consumables!$AN$2:$AS$100,3,FALSE),
IF($AI$4="BWL",VLOOKUP($A46,Consumables!$AN$2:$AS$100,4,FALSE),
IF($AI$4="AQ40",VLOOKUP($A46,Consumables!$AN$2:$AS$100,5,FALSE),
IF($AI$4="NAXX",VLOOKUP($A46,Consumables!$AN$2:$AS$100,6,FALSE),
IF($AI$4="X",0,0))))))))</f>
        <v>0</v>
      </c>
      <c r="E46" s="3">
        <f t="shared" si="15"/>
        <v>0</v>
      </c>
      <c r="F46" s="1" t="s">
        <v>449</v>
      </c>
      <c r="G46" s="3">
        <v>2</v>
      </c>
      <c r="H46" s="1" t="s">
        <v>270</v>
      </c>
      <c r="I46" s="3">
        <v>3</v>
      </c>
      <c r="O46" s="1" t="s">
        <v>449</v>
      </c>
      <c r="P46" s="3">
        <f t="shared" si="16"/>
        <v>0</v>
      </c>
      <c r="Q46" s="1" t="s">
        <v>270</v>
      </c>
      <c r="R46" s="3">
        <f t="shared" si="12"/>
        <v>0</v>
      </c>
      <c r="X46" s="1" t="s">
        <v>212</v>
      </c>
      <c r="Y46" s="10">
        <f>IF(ISNA(VLOOKUP(X46,Scratch!$B$1:$C$3000,2,FALSE)),0,VLOOKUP(X46,Scratch!$B$1:$C$3000,2,FALSE))</f>
        <v>11</v>
      </c>
      <c r="Z46" s="3">
        <f t="shared" si="11"/>
        <v>11</v>
      </c>
      <c r="AA46" s="11">
        <f>P38</f>
        <v>0</v>
      </c>
      <c r="AN46" s="30" t="s">
        <v>155</v>
      </c>
      <c r="AO46" s="30">
        <v>0</v>
      </c>
      <c r="AP46" s="30">
        <v>0</v>
      </c>
      <c r="AQ46" s="30">
        <v>0</v>
      </c>
      <c r="AR46" s="30">
        <v>0</v>
      </c>
      <c r="AS46" s="30">
        <v>0</v>
      </c>
    </row>
    <row r="47" spans="1:45" x14ac:dyDescent="0.25">
      <c r="A47" s="1" t="s">
        <v>358</v>
      </c>
      <c r="B47" s="10">
        <f>IF(ISNA(VLOOKUP(A47,Scratch!$B$1:$C$3000,2,FALSE)),0,VLOOKUP(A47,Scratch!$B$1:$C$3000,2,FALSE))</f>
        <v>0</v>
      </c>
      <c r="C47" s="2">
        <f t="shared" si="14"/>
        <v>0</v>
      </c>
      <c r="D47" s="11">
        <f>(IF($AI$2="ONY",VLOOKUP($A47,Consumables!$AN$2:$AS$100,2,FALSE),
IF($AI$2="MC",VLOOKUP($A47,Consumables!$AN$2:$AS$100,3,FALSE),
IF($AI$2="BWL",VLOOKUP($A47,Consumables!$AN$2:$AS$100,4,FALSE),
IF($AI$2="AQ40",VLOOKUP($A47,Consumables!$AN$2:$AS$100,5,FALSE),
IF($AI$2="NAXX",VLOOKUP($A47,Consumables!$AN$2:$AS$100,6,FALSE),
IF($AI$2="X",0))))))+
(IF($AI$3="ONY",VLOOKUP($A47,Consumables!$AN$2:$AS$100,2,FALSE),
IF($AI$3="MC",VLOOKUP($A47,Consumables!$AN$2:$AS$100,3,FALSE),
IF($AI$3="BWL",VLOOKUP($A47,Consumables!$AN$2:$AS$100,4,FALSE),
IF($AI$3="AQ40",VLOOKUP($A47,Consumables!$AN$2:$AS$100,5,FALSE),
IF($AI$3="NAXX",VLOOKUP($A47,Consumables!$AN$2:$AS$100,6,FALSE),
IF($AI$3="X",0)))))))+
(IF($AI$4="ONY",VLOOKUP($A47,Consumables!$AN$2:$AS$100,2,FALSE),
IF($AI$4="MC",VLOOKUP($A47,Consumables!$AN$2:$AS$100,3,FALSE),
IF($AI$4="BWL",VLOOKUP($A47,Consumables!$AN$2:$AS$100,4,FALSE),
IF($AI$4="AQ40",VLOOKUP($A47,Consumables!$AN$2:$AS$100,5,FALSE),
IF($AI$4="NAXX",VLOOKUP($A47,Consumables!$AN$2:$AS$100,6,FALSE),
IF($AI$4="X",0,0))))))))</f>
        <v>0</v>
      </c>
      <c r="E47" s="3">
        <f t="shared" si="15"/>
        <v>0</v>
      </c>
      <c r="F47" s="1" t="s">
        <v>76</v>
      </c>
      <c r="G47" s="3">
        <v>10</v>
      </c>
      <c r="H47" s="1" t="s">
        <v>17</v>
      </c>
      <c r="I47" s="3">
        <v>30</v>
      </c>
      <c r="J47" s="1" t="s">
        <v>371</v>
      </c>
      <c r="K47" s="3">
        <v>1</v>
      </c>
      <c r="L47" s="1" t="s">
        <v>18</v>
      </c>
      <c r="M47" s="3">
        <v>1</v>
      </c>
      <c r="O47" s="1" t="s">
        <v>76</v>
      </c>
      <c r="P47" s="3">
        <f t="shared" si="16"/>
        <v>0</v>
      </c>
      <c r="Q47" s="1" t="s">
        <v>17</v>
      </c>
      <c r="R47" s="3">
        <f t="shared" si="12"/>
        <v>0</v>
      </c>
      <c r="S47" s="1" t="s">
        <v>371</v>
      </c>
      <c r="T47" s="3">
        <f>E47*K47</f>
        <v>0</v>
      </c>
      <c r="U47" s="1" t="s">
        <v>18</v>
      </c>
      <c r="V47" s="3">
        <f>M47*E47</f>
        <v>0</v>
      </c>
      <c r="X47" s="1" t="s">
        <v>87</v>
      </c>
      <c r="Y47" s="10">
        <f>IF(ISNA(VLOOKUP(X47,Scratch!$B$1:$C$3000,2,FALSE)),0,VLOOKUP(X47,Scratch!$B$1:$C$3000,2,FALSE))</f>
        <v>113</v>
      </c>
      <c r="Z47" s="3">
        <f t="shared" si="11"/>
        <v>113</v>
      </c>
      <c r="AA47" s="11">
        <f>P35</f>
        <v>0</v>
      </c>
      <c r="AN47" s="30" t="s">
        <v>225</v>
      </c>
      <c r="AO47" s="30">
        <v>0</v>
      </c>
      <c r="AP47" s="30">
        <v>5</v>
      </c>
      <c r="AQ47" s="30">
        <v>5</v>
      </c>
      <c r="AR47" s="30">
        <v>5</v>
      </c>
      <c r="AS47" s="30">
        <v>5</v>
      </c>
    </row>
    <row r="48" spans="1:45" x14ac:dyDescent="0.25">
      <c r="A48" s="1" t="s">
        <v>156</v>
      </c>
      <c r="B48" s="10">
        <f>IF(ISNA(VLOOKUP(A48,Scratch!$B$1:$C$3000,2,FALSE)),0,VLOOKUP(A48,Scratch!$B$1:$C$3000,2,FALSE))</f>
        <v>0</v>
      </c>
      <c r="C48" s="2">
        <f t="shared" si="14"/>
        <v>0</v>
      </c>
      <c r="D48" s="11">
        <f>(IF($AI$2="ONY",VLOOKUP($A48,Consumables!$AN$2:$AS$100,2,FALSE),
IF($AI$2="MC",VLOOKUP($A48,Consumables!$AN$2:$AS$100,3,FALSE),
IF($AI$2="BWL",VLOOKUP($A48,Consumables!$AN$2:$AS$100,4,FALSE),
IF($AI$2="AQ40",VLOOKUP($A48,Consumables!$AN$2:$AS$100,5,FALSE),
IF($AI$2="NAXX",VLOOKUP($A48,Consumables!$AN$2:$AS$100,6,FALSE),
IF($AI$2="X",0))))))+
(IF($AI$3="ONY",VLOOKUP($A48,Consumables!$AN$2:$AS$100,2,FALSE),
IF($AI$3="MC",VLOOKUP($A48,Consumables!$AN$2:$AS$100,3,FALSE),
IF($AI$3="BWL",VLOOKUP($A48,Consumables!$AN$2:$AS$100,4,FALSE),
IF($AI$3="AQ40",VLOOKUP($A48,Consumables!$AN$2:$AS$100,5,FALSE),
IF($AI$3="NAXX",VLOOKUP($A48,Consumables!$AN$2:$AS$100,6,FALSE),
IF($AI$3="X",0)))))))+
(IF($AI$4="ONY",VLOOKUP($A48,Consumables!$AN$2:$AS$100,2,FALSE),
IF($AI$4="MC",VLOOKUP($A48,Consumables!$AN$2:$AS$100,3,FALSE),
IF($AI$4="BWL",VLOOKUP($A48,Consumables!$AN$2:$AS$100,4,FALSE),
IF($AI$4="AQ40",VLOOKUP($A48,Consumables!$AN$2:$AS$100,5,FALSE),
IF($AI$4="NAXX",VLOOKUP($A48,Consumables!$AN$2:$AS$100,6,FALSE),
IF($AI$4="X",0,0))))))))</f>
        <v>0</v>
      </c>
      <c r="E48" s="3">
        <f t="shared" si="15"/>
        <v>0</v>
      </c>
      <c r="F48" s="1" t="s">
        <v>359</v>
      </c>
      <c r="G48" s="3">
        <v>10</v>
      </c>
      <c r="H48" s="1" t="s">
        <v>17</v>
      </c>
      <c r="I48" s="3">
        <v>30</v>
      </c>
      <c r="J48" s="1" t="s">
        <v>371</v>
      </c>
      <c r="K48" s="3">
        <v>1</v>
      </c>
      <c r="L48" s="1" t="s">
        <v>18</v>
      </c>
      <c r="M48" s="3">
        <v>1</v>
      </c>
      <c r="O48" s="1" t="s">
        <v>359</v>
      </c>
      <c r="P48" s="3">
        <f t="shared" si="16"/>
        <v>0</v>
      </c>
      <c r="Q48" s="1" t="s">
        <v>17</v>
      </c>
      <c r="R48" s="3">
        <f t="shared" si="12"/>
        <v>0</v>
      </c>
      <c r="S48" s="1" t="s">
        <v>371</v>
      </c>
      <c r="T48" s="3">
        <f>E48*K48</f>
        <v>0</v>
      </c>
      <c r="U48" s="1" t="s">
        <v>18</v>
      </c>
      <c r="V48" s="3">
        <f>M48*E48</f>
        <v>0</v>
      </c>
      <c r="X48" s="1" t="s">
        <v>93</v>
      </c>
      <c r="Y48" s="10">
        <f>IF(ISNA(VLOOKUP(X48,Scratch!$B$1:$C$3000,2,FALSE)),0,VLOOKUP(X48,Scratch!$B$1:$C$3000,2,FALSE))</f>
        <v>10</v>
      </c>
      <c r="Z48" s="3">
        <f t="shared" si="11"/>
        <v>10</v>
      </c>
      <c r="AA48" s="11">
        <f>R11</f>
        <v>0</v>
      </c>
      <c r="AN48" s="30" t="s">
        <v>340</v>
      </c>
      <c r="AO48" s="30">
        <v>0</v>
      </c>
      <c r="AP48" s="30">
        <v>0</v>
      </c>
      <c r="AQ48" s="30">
        <v>0</v>
      </c>
      <c r="AR48" s="30">
        <v>5</v>
      </c>
      <c r="AS48" s="30">
        <v>5</v>
      </c>
    </row>
    <row r="49" spans="1:45" x14ac:dyDescent="0.25">
      <c r="A49" s="1" t="s">
        <v>42</v>
      </c>
      <c r="B49" s="10">
        <f>IF(ISNA(VLOOKUP(A49,Scratch!$B$1:$C$3000,2,FALSE)),0,VLOOKUP(A49,Scratch!$B$1:$C$3000,2,FALSE))</f>
        <v>0</v>
      </c>
      <c r="C49" s="2">
        <f t="shared" si="14"/>
        <v>0</v>
      </c>
      <c r="D49" s="11">
        <f>(IF($AI$2="ONY",VLOOKUP($A49,Consumables!$AN$2:$AS$100,2,FALSE),
IF($AI$2="MC",VLOOKUP($A49,Consumables!$AN$2:$AS$100,3,FALSE),
IF($AI$2="BWL",VLOOKUP($A49,Consumables!$AN$2:$AS$100,4,FALSE),
IF($AI$2="AQ40",VLOOKUP($A49,Consumables!$AN$2:$AS$100,5,FALSE),
IF($AI$2="NAXX",VLOOKUP($A49,Consumables!$AN$2:$AS$100,6,FALSE),
IF($AI$2="X",0))))))+
(IF($AI$3="ONY",VLOOKUP($A49,Consumables!$AN$2:$AS$100,2,FALSE),
IF($AI$3="MC",VLOOKUP($A49,Consumables!$AN$2:$AS$100,3,FALSE),
IF($AI$3="BWL",VLOOKUP($A49,Consumables!$AN$2:$AS$100,4,FALSE),
IF($AI$3="AQ40",VLOOKUP($A49,Consumables!$AN$2:$AS$100,5,FALSE),
IF($AI$3="NAXX",VLOOKUP($A49,Consumables!$AN$2:$AS$100,6,FALSE),
IF($AI$3="X",0)))))))+
(IF($AI$4="ONY",VLOOKUP($A49,Consumables!$AN$2:$AS$100,2,FALSE),
IF($AI$4="MC",VLOOKUP($A49,Consumables!$AN$2:$AS$100,3,FALSE),
IF($AI$4="BWL",VLOOKUP($A49,Consumables!$AN$2:$AS$100,4,FALSE),
IF($AI$4="AQ40",VLOOKUP($A49,Consumables!$AN$2:$AS$100,5,FALSE),
IF($AI$4="NAXX",VLOOKUP($A49,Consumables!$AN$2:$AS$100,6,FALSE),
IF($AI$4="X",0,0))))))))</f>
        <v>0</v>
      </c>
      <c r="E49" s="3">
        <f t="shared" si="15"/>
        <v>0</v>
      </c>
      <c r="F49" s="1" t="s">
        <v>54</v>
      </c>
      <c r="G49" s="3">
        <v>10</v>
      </c>
      <c r="H49" s="1" t="s">
        <v>21</v>
      </c>
      <c r="I49" s="3">
        <v>30</v>
      </c>
      <c r="J49" s="1" t="s">
        <v>371</v>
      </c>
      <c r="K49" s="3">
        <v>1</v>
      </c>
      <c r="L49" s="1" t="s">
        <v>18</v>
      </c>
      <c r="M49" s="3">
        <v>1</v>
      </c>
      <c r="O49" s="1" t="s">
        <v>54</v>
      </c>
      <c r="P49" s="3">
        <f t="shared" si="16"/>
        <v>0</v>
      </c>
      <c r="Q49" s="1" t="s">
        <v>21</v>
      </c>
      <c r="R49" s="3">
        <f t="shared" si="12"/>
        <v>0</v>
      </c>
      <c r="S49" s="1" t="s">
        <v>371</v>
      </c>
      <c r="T49" s="3">
        <f>E49*K49</f>
        <v>0</v>
      </c>
      <c r="U49" s="1" t="s">
        <v>18</v>
      </c>
      <c r="V49" s="3">
        <f>M49*E49</f>
        <v>0</v>
      </c>
      <c r="X49" s="1" t="s">
        <v>147</v>
      </c>
      <c r="Y49" s="10">
        <f>IF(ISNA(VLOOKUP(X49,Scratch!$B$1:$C$3000,2,FALSE)),0,VLOOKUP(X49,Scratch!$B$1:$C$3000,2,FALSE))</f>
        <v>36</v>
      </c>
      <c r="Z49" s="3">
        <f t="shared" si="11"/>
        <v>36</v>
      </c>
      <c r="AA49" s="11">
        <f>P109</f>
        <v>0</v>
      </c>
      <c r="AN49" s="30" t="s">
        <v>416</v>
      </c>
      <c r="AO49" s="30">
        <v>0</v>
      </c>
      <c r="AP49" s="30">
        <v>0</v>
      </c>
      <c r="AQ49" s="30">
        <v>0</v>
      </c>
      <c r="AR49" s="30">
        <v>0</v>
      </c>
      <c r="AS49" s="30">
        <v>0</v>
      </c>
    </row>
    <row r="50" spans="1:45" x14ac:dyDescent="0.25">
      <c r="X50" s="1" t="s">
        <v>243</v>
      </c>
      <c r="Y50" s="10">
        <f>IF(ISNA(VLOOKUP(X50,Scratch!$B$1:$C$3000,2,FALSE)),0,VLOOKUP(X50,Scratch!$B$1:$C$3000,2,FALSE))</f>
        <v>71</v>
      </c>
      <c r="Z50" s="3">
        <f t="shared" si="11"/>
        <v>71</v>
      </c>
      <c r="AA50" s="11">
        <f>P27+P25</f>
        <v>0</v>
      </c>
      <c r="AN50" s="30" t="s">
        <v>88</v>
      </c>
      <c r="AO50" s="30">
        <v>0</v>
      </c>
      <c r="AP50" s="30">
        <v>5</v>
      </c>
      <c r="AQ50" s="30">
        <v>5</v>
      </c>
      <c r="AR50" s="30">
        <v>5</v>
      </c>
      <c r="AS50" s="30">
        <v>5</v>
      </c>
    </row>
    <row r="51" spans="1:45" x14ac:dyDescent="0.25">
      <c r="X51" s="1" t="s">
        <v>396</v>
      </c>
      <c r="Y51" s="10">
        <f>IF(ISNA(VLOOKUP(X51,Scratch!$B$1:$C$3000,2,FALSE)),0,VLOOKUP(X51,Scratch!$B$1:$C$3000,2,FALSE))</f>
        <v>38</v>
      </c>
      <c r="Z51" s="3">
        <f t="shared" si="11"/>
        <v>38</v>
      </c>
      <c r="AA51" s="11">
        <f>AG39</f>
        <v>0</v>
      </c>
      <c r="AN51" s="30" t="s">
        <v>81</v>
      </c>
      <c r="AO51" s="30">
        <v>2</v>
      </c>
      <c r="AP51" s="30">
        <v>5</v>
      </c>
      <c r="AQ51" s="30">
        <v>10</v>
      </c>
      <c r="AR51" s="30">
        <v>10</v>
      </c>
      <c r="AS51" s="30">
        <v>15</v>
      </c>
    </row>
    <row r="52" spans="1:45" x14ac:dyDescent="0.25">
      <c r="X52" s="1" t="s">
        <v>393</v>
      </c>
      <c r="Y52" s="10">
        <f>IF(ISNA(VLOOKUP(X52,Scratch!$B$1:$C$3000,2,FALSE)),0,VLOOKUP(X52,Scratch!$B$1:$C$3000,2,FALSE))</f>
        <v>2</v>
      </c>
      <c r="Z52" s="3">
        <f t="shared" si="11"/>
        <v>2</v>
      </c>
      <c r="AA52" s="11">
        <f>AG36</f>
        <v>0</v>
      </c>
      <c r="AN52" s="30" t="s">
        <v>341</v>
      </c>
      <c r="AO52" s="30">
        <v>0</v>
      </c>
      <c r="AP52" s="30">
        <v>0</v>
      </c>
      <c r="AQ52" s="30">
        <v>0</v>
      </c>
      <c r="AR52" s="30">
        <v>0</v>
      </c>
      <c r="AS52" s="30">
        <v>5</v>
      </c>
    </row>
    <row r="53" spans="1:45" x14ac:dyDescent="0.25">
      <c r="X53" s="1" t="s">
        <v>394</v>
      </c>
      <c r="Y53" s="10">
        <f>IF(ISNA(VLOOKUP(X53,Scratch!$B$1:$C$3000,2,FALSE)),0,VLOOKUP(X53,Scratch!$B$1:$C$3000,2,FALSE))</f>
        <v>2</v>
      </c>
      <c r="Z53" s="3">
        <f t="shared" si="11"/>
        <v>-16</v>
      </c>
      <c r="AA53" s="11">
        <f>AG37</f>
        <v>18</v>
      </c>
      <c r="AN53" s="30" t="s">
        <v>6</v>
      </c>
      <c r="AO53" s="30">
        <v>0</v>
      </c>
      <c r="AP53" s="30">
        <v>8</v>
      </c>
      <c r="AQ53" s="30">
        <v>8</v>
      </c>
      <c r="AR53" s="30">
        <v>0</v>
      </c>
      <c r="AS53" s="30">
        <v>0</v>
      </c>
    </row>
    <row r="54" spans="1:45" x14ac:dyDescent="0.25">
      <c r="X54" s="1" t="s">
        <v>395</v>
      </c>
      <c r="Y54" s="10">
        <f>IF(ISNA(VLOOKUP(X54,Scratch!$B$1:$C$3000,2,FALSE)),0,VLOOKUP(X54,Scratch!$B$1:$C$3000,2,FALSE))</f>
        <v>2</v>
      </c>
      <c r="Z54" s="3">
        <f t="shared" si="11"/>
        <v>2</v>
      </c>
      <c r="AA54" s="11">
        <f>AG38</f>
        <v>0</v>
      </c>
      <c r="AN54" s="30" t="s">
        <v>401</v>
      </c>
      <c r="AO54" s="30">
        <v>0</v>
      </c>
      <c r="AP54" s="30">
        <v>0</v>
      </c>
      <c r="AQ54" s="30">
        <v>0</v>
      </c>
      <c r="AR54" s="30">
        <v>0</v>
      </c>
      <c r="AS54" s="30">
        <v>0</v>
      </c>
    </row>
    <row r="55" spans="1:45" x14ac:dyDescent="0.25">
      <c r="G55" s="3"/>
      <c r="I55" s="3"/>
      <c r="K55" s="3"/>
      <c r="M55" s="3"/>
      <c r="P55" s="3"/>
      <c r="R55" s="3"/>
      <c r="T55" s="3"/>
      <c r="V55" s="3"/>
      <c r="X55" s="1" t="s">
        <v>392</v>
      </c>
      <c r="Y55" s="10">
        <f>IF(ISNA(VLOOKUP(X55,Scratch!$B$1:$C$3000,2,FALSE)),0,VLOOKUP(X55,Scratch!$B$1:$C$3000,2,FALSE))</f>
        <v>20</v>
      </c>
      <c r="Z55" s="3">
        <f t="shared" si="11"/>
        <v>20</v>
      </c>
      <c r="AA55" s="11">
        <f>AG35</f>
        <v>0</v>
      </c>
      <c r="AN55" s="30" t="s">
        <v>357</v>
      </c>
      <c r="AO55" s="30">
        <v>0</v>
      </c>
      <c r="AP55" s="30">
        <v>0</v>
      </c>
      <c r="AQ55" s="30">
        <v>0</v>
      </c>
      <c r="AR55" s="30">
        <v>0</v>
      </c>
      <c r="AS55" s="30">
        <v>0</v>
      </c>
    </row>
    <row r="56" spans="1:45" x14ac:dyDescent="0.25">
      <c r="G56" s="3"/>
      <c r="I56" s="3"/>
      <c r="K56" s="3"/>
      <c r="M56" s="3"/>
      <c r="V56" s="3"/>
      <c r="X56" s="1" t="s">
        <v>313</v>
      </c>
      <c r="Y56" s="10">
        <f>IF(ISNA(VLOOKUP(X56,Scratch!$B$1:$C$3000,2,FALSE)),0,VLOOKUP(X56,Scratch!$B$1:$C$3000,2,FALSE))</f>
        <v>7</v>
      </c>
      <c r="Z56" s="3">
        <f t="shared" si="11"/>
        <v>7</v>
      </c>
      <c r="AA56" s="11">
        <f>T40+T41</f>
        <v>0</v>
      </c>
      <c r="AN56" s="30" t="s">
        <v>71</v>
      </c>
      <c r="AO56" s="30">
        <v>0</v>
      </c>
      <c r="AP56" s="30">
        <v>0</v>
      </c>
      <c r="AQ56" s="30">
        <v>0</v>
      </c>
      <c r="AR56" s="30">
        <v>10</v>
      </c>
      <c r="AS56" s="30">
        <v>5</v>
      </c>
    </row>
    <row r="57" spans="1:45" x14ac:dyDescent="0.25">
      <c r="X57" s="1" t="s">
        <v>397</v>
      </c>
      <c r="Y57" s="10">
        <f>IF(ISNA(VLOOKUP(X57,Scratch!$B$1:$C$3000,2,FALSE)),0,VLOOKUP(X57,Scratch!$B$1:$C$3000,2,FALSE))</f>
        <v>1</v>
      </c>
      <c r="Z57" s="3">
        <f t="shared" si="11"/>
        <v>1</v>
      </c>
      <c r="AA57" s="11">
        <f>P40+P41</f>
        <v>0</v>
      </c>
      <c r="AN57" s="30" t="s">
        <v>247</v>
      </c>
      <c r="AO57" s="30">
        <v>0</v>
      </c>
      <c r="AP57" s="30">
        <v>0</v>
      </c>
      <c r="AQ57" s="30">
        <v>0</v>
      </c>
      <c r="AR57" s="30">
        <v>5</v>
      </c>
      <c r="AS57" s="30">
        <v>10</v>
      </c>
    </row>
    <row r="58" spans="1:45" x14ac:dyDescent="0.25">
      <c r="X58" s="1" t="s">
        <v>284</v>
      </c>
      <c r="Y58" s="10">
        <f>IF(ISNA(VLOOKUP(X58,Scratch!$B$1:$C$3000,2,FALSE)),0,VLOOKUP(X58,Scratch!$B$1:$C$3000,2,FALSE))</f>
        <v>13</v>
      </c>
      <c r="Z58" s="3">
        <f t="shared" si="11"/>
        <v>13</v>
      </c>
      <c r="AA58" s="11">
        <f>R40</f>
        <v>0</v>
      </c>
      <c r="AN58" s="30" t="s">
        <v>299</v>
      </c>
      <c r="AO58" s="30">
        <v>0</v>
      </c>
      <c r="AP58" s="30">
        <v>0</v>
      </c>
      <c r="AQ58" s="30">
        <v>0</v>
      </c>
      <c r="AR58" s="30">
        <v>0</v>
      </c>
      <c r="AS58" s="30">
        <v>0</v>
      </c>
    </row>
    <row r="59" spans="1:45" x14ac:dyDescent="0.25">
      <c r="X59" s="1" t="s">
        <v>314</v>
      </c>
      <c r="Y59" s="10">
        <f>IF(ISNA(VLOOKUP(X59,Scratch!$B$1:$C$3000,2,FALSE)),0,VLOOKUP(X59,Scratch!$B$1:$C$3000,2,FALSE))</f>
        <v>14</v>
      </c>
      <c r="Z59" s="3">
        <f t="shared" si="11"/>
        <v>14</v>
      </c>
      <c r="AA59" s="11">
        <f>R41</f>
        <v>0</v>
      </c>
      <c r="AN59" s="30" t="s">
        <v>107</v>
      </c>
      <c r="AO59" s="30">
        <v>1</v>
      </c>
      <c r="AP59" s="30">
        <v>0</v>
      </c>
      <c r="AQ59" s="30">
        <v>1</v>
      </c>
      <c r="AR59" s="30">
        <v>0</v>
      </c>
      <c r="AS59" s="30">
        <v>0</v>
      </c>
    </row>
    <row r="60" spans="1:45" x14ac:dyDescent="0.25">
      <c r="AN60" s="30" t="s">
        <v>332</v>
      </c>
      <c r="AO60" s="30">
        <v>0</v>
      </c>
      <c r="AP60" s="30">
        <v>0</v>
      </c>
      <c r="AQ60" s="30">
        <v>0</v>
      </c>
      <c r="AR60" s="30">
        <v>0</v>
      </c>
      <c r="AS60" s="30">
        <v>10</v>
      </c>
    </row>
    <row r="61" spans="1:45" x14ac:dyDescent="0.25">
      <c r="AN61" s="30" t="s">
        <v>102</v>
      </c>
      <c r="AO61" s="30">
        <v>0</v>
      </c>
      <c r="AP61" s="30">
        <v>1</v>
      </c>
      <c r="AQ61" s="30">
        <v>1</v>
      </c>
      <c r="AR61" s="30">
        <v>1</v>
      </c>
      <c r="AS61" s="30">
        <v>1</v>
      </c>
    </row>
    <row r="62" spans="1:45" x14ac:dyDescent="0.25">
      <c r="AN62" s="30" t="s">
        <v>82</v>
      </c>
      <c r="AO62" s="30">
        <v>0</v>
      </c>
      <c r="AP62" s="30">
        <v>2</v>
      </c>
      <c r="AQ62" s="30">
        <v>0</v>
      </c>
      <c r="AR62" s="30">
        <v>0</v>
      </c>
      <c r="AS62" s="30">
        <v>0</v>
      </c>
    </row>
    <row r="63" spans="1:45" x14ac:dyDescent="0.25">
      <c r="AN63" s="30" t="s">
        <v>248</v>
      </c>
      <c r="AO63" s="30">
        <v>0</v>
      </c>
      <c r="AP63" s="30">
        <v>0</v>
      </c>
      <c r="AQ63" s="30">
        <v>0</v>
      </c>
      <c r="AR63" s="30">
        <v>0</v>
      </c>
      <c r="AS63" s="30">
        <v>0</v>
      </c>
    </row>
    <row r="64" spans="1:45" x14ac:dyDescent="0.25">
      <c r="AN64" s="30" t="s">
        <v>425</v>
      </c>
      <c r="AO64" s="30">
        <v>0</v>
      </c>
      <c r="AP64" s="30">
        <v>0</v>
      </c>
      <c r="AQ64" s="30">
        <v>0</v>
      </c>
      <c r="AR64" s="30">
        <v>0</v>
      </c>
      <c r="AS64" s="30">
        <v>0</v>
      </c>
    </row>
    <row r="65" spans="40:45" x14ac:dyDescent="0.25">
      <c r="AN65" s="30" t="s">
        <v>151</v>
      </c>
      <c r="AO65" s="30">
        <v>0</v>
      </c>
      <c r="AP65" s="30">
        <v>10</v>
      </c>
      <c r="AQ65" s="30">
        <v>15</v>
      </c>
      <c r="AR65" s="30">
        <v>15</v>
      </c>
      <c r="AS65" s="30">
        <v>20</v>
      </c>
    </row>
    <row r="66" spans="40:45" x14ac:dyDescent="0.25">
      <c r="AN66" s="30" t="s">
        <v>150</v>
      </c>
      <c r="AO66" s="30">
        <v>0</v>
      </c>
      <c r="AP66" s="30">
        <v>0</v>
      </c>
      <c r="AQ66" s="30">
        <v>1</v>
      </c>
      <c r="AR66" s="30">
        <v>1</v>
      </c>
      <c r="AS66" s="30">
        <v>1</v>
      </c>
    </row>
    <row r="67" spans="40:45" x14ac:dyDescent="0.25">
      <c r="AN67" s="30" t="s">
        <v>272</v>
      </c>
      <c r="AO67" s="30">
        <v>0</v>
      </c>
      <c r="AP67" s="30">
        <v>0</v>
      </c>
      <c r="AQ67" s="30">
        <v>0</v>
      </c>
      <c r="AR67" s="30">
        <v>0</v>
      </c>
      <c r="AS67" s="30">
        <v>0</v>
      </c>
    </row>
    <row r="68" spans="40:45" x14ac:dyDescent="0.25">
      <c r="AN68" s="30" t="s">
        <v>14</v>
      </c>
      <c r="AO68" s="30">
        <v>0</v>
      </c>
      <c r="AP68" s="30">
        <v>0</v>
      </c>
      <c r="AQ68" s="30">
        <v>0</v>
      </c>
      <c r="AR68" s="30">
        <v>0</v>
      </c>
      <c r="AS68" s="30">
        <v>0</v>
      </c>
    </row>
    <row r="69" spans="40:45" x14ac:dyDescent="0.25">
      <c r="AN69" s="30" t="s">
        <v>422</v>
      </c>
      <c r="AO69" s="30">
        <v>0</v>
      </c>
      <c r="AP69" s="30">
        <v>0</v>
      </c>
      <c r="AQ69" s="30">
        <v>0</v>
      </c>
      <c r="AR69" s="30">
        <v>0</v>
      </c>
      <c r="AS69" s="30">
        <v>0</v>
      </c>
    </row>
    <row r="70" spans="40:45" x14ac:dyDescent="0.25">
      <c r="AN70" s="30" t="s">
        <v>269</v>
      </c>
      <c r="AO70" s="30">
        <v>0</v>
      </c>
      <c r="AP70" s="30">
        <v>0</v>
      </c>
      <c r="AQ70" s="30">
        <v>0</v>
      </c>
      <c r="AR70" s="30">
        <v>0</v>
      </c>
      <c r="AS70" s="30">
        <v>10</v>
      </c>
    </row>
    <row r="71" spans="40:45" x14ac:dyDescent="0.25">
      <c r="AN71" s="30" t="s">
        <v>220</v>
      </c>
      <c r="AO71" s="30">
        <v>0</v>
      </c>
      <c r="AP71" s="30">
        <v>6</v>
      </c>
      <c r="AQ71" s="30">
        <v>10</v>
      </c>
      <c r="AR71" s="30">
        <v>5</v>
      </c>
      <c r="AS71" s="30">
        <v>10</v>
      </c>
    </row>
    <row r="72" spans="40:45" x14ac:dyDescent="0.25">
      <c r="AN72" s="30"/>
      <c r="AO72" s="30"/>
      <c r="AP72" s="30"/>
      <c r="AQ72" s="30"/>
      <c r="AR72" s="30"/>
      <c r="AS72" s="30"/>
    </row>
    <row r="73" spans="40:45" x14ac:dyDescent="0.25">
      <c r="AN73" s="30"/>
      <c r="AO73" s="30"/>
      <c r="AP73" s="30"/>
      <c r="AQ73" s="30"/>
      <c r="AR73" s="30"/>
      <c r="AS73" s="30"/>
    </row>
    <row r="74" spans="40:45" x14ac:dyDescent="0.25">
      <c r="AN74" s="30"/>
      <c r="AO74" s="30"/>
      <c r="AP74" s="30"/>
      <c r="AQ74" s="30"/>
      <c r="AR74" s="30"/>
      <c r="AS74" s="30"/>
    </row>
    <row r="75" spans="40:45" x14ac:dyDescent="0.25">
      <c r="AN75" s="30"/>
      <c r="AO75" s="30"/>
      <c r="AP75" s="30"/>
      <c r="AQ75" s="30"/>
      <c r="AR75" s="30"/>
      <c r="AS75" s="30"/>
    </row>
    <row r="76" spans="40:45" x14ac:dyDescent="0.25">
      <c r="AN76" s="30"/>
      <c r="AO76" s="30"/>
      <c r="AP76" s="30"/>
      <c r="AQ76" s="30"/>
      <c r="AR76" s="30"/>
      <c r="AS76" s="30"/>
    </row>
    <row r="77" spans="40:45" x14ac:dyDescent="0.25">
      <c r="AN77" s="30"/>
      <c r="AO77" s="30"/>
      <c r="AP77" s="30"/>
      <c r="AQ77" s="30"/>
      <c r="AR77" s="30"/>
      <c r="AS77" s="30"/>
    </row>
    <row r="78" spans="40:45" x14ac:dyDescent="0.25">
      <c r="AN78" s="30"/>
      <c r="AO78" s="30"/>
      <c r="AP78" s="30"/>
      <c r="AQ78" s="30"/>
      <c r="AR78" s="30"/>
      <c r="AS78" s="30"/>
    </row>
    <row r="79" spans="40:45" x14ac:dyDescent="0.25">
      <c r="AN79" s="30"/>
      <c r="AO79" s="30"/>
      <c r="AP79" s="30"/>
      <c r="AQ79" s="30"/>
      <c r="AR79" s="30"/>
      <c r="AS79" s="30"/>
    </row>
    <row r="80" spans="40:45" x14ac:dyDescent="0.25">
      <c r="AN80" s="30"/>
      <c r="AO80" s="30"/>
      <c r="AP80" s="30"/>
      <c r="AQ80" s="30"/>
      <c r="AR80" s="30"/>
      <c r="AS80" s="30"/>
    </row>
    <row r="81" spans="6:45" x14ac:dyDescent="0.25">
      <c r="AN81" s="30"/>
      <c r="AO81" s="30"/>
      <c r="AP81" s="30"/>
      <c r="AQ81" s="30"/>
      <c r="AR81" s="30"/>
      <c r="AS81" s="30"/>
    </row>
    <row r="82" spans="6:45" x14ac:dyDescent="0.25">
      <c r="AN82" s="30"/>
      <c r="AO82" s="30"/>
      <c r="AP82" s="30"/>
      <c r="AQ82" s="30"/>
      <c r="AR82" s="30"/>
      <c r="AS82" s="30"/>
    </row>
    <row r="83" spans="6:45" x14ac:dyDescent="0.25">
      <c r="AN83" s="30"/>
      <c r="AO83" s="30"/>
      <c r="AP83" s="30"/>
      <c r="AQ83" s="30"/>
      <c r="AR83" s="30"/>
      <c r="AS83" s="30"/>
    </row>
    <row r="84" spans="6:45" x14ac:dyDescent="0.25">
      <c r="L84" s="3"/>
      <c r="M84" s="3"/>
      <c r="AN84" s="30"/>
      <c r="AO84" s="30"/>
      <c r="AP84" s="30"/>
      <c r="AQ84" s="30"/>
      <c r="AR84" s="30"/>
      <c r="AS84" s="30"/>
    </row>
    <row r="85" spans="6:45" x14ac:dyDescent="0.25">
      <c r="L85" s="3"/>
      <c r="M85" s="3"/>
      <c r="AN85" s="30"/>
      <c r="AO85" s="30"/>
      <c r="AP85" s="30"/>
      <c r="AQ85" s="30"/>
      <c r="AR85" s="30"/>
      <c r="AS85" s="30"/>
    </row>
    <row r="86" spans="6:45" x14ac:dyDescent="0.25">
      <c r="L86" s="3"/>
      <c r="M86" s="3"/>
      <c r="AN86" s="30"/>
      <c r="AO86" s="30"/>
      <c r="AP86" s="30"/>
      <c r="AQ86" s="30"/>
      <c r="AR86" s="30"/>
      <c r="AS86" s="30"/>
    </row>
    <row r="87" spans="6:45" x14ac:dyDescent="0.25">
      <c r="AN87" s="30"/>
      <c r="AO87" s="30"/>
      <c r="AP87" s="30"/>
      <c r="AQ87" s="30"/>
      <c r="AR87" s="30"/>
      <c r="AS87" s="30"/>
    </row>
    <row r="88" spans="6:45" x14ac:dyDescent="0.25">
      <c r="AN88" s="30"/>
      <c r="AO88" s="30"/>
      <c r="AP88" s="30"/>
      <c r="AQ88" s="30"/>
      <c r="AR88" s="30"/>
      <c r="AS88" s="30"/>
    </row>
    <row r="89" spans="6:45" x14ac:dyDescent="0.25">
      <c r="AN89" s="30"/>
      <c r="AO89" s="30"/>
      <c r="AP89" s="30"/>
      <c r="AQ89" s="30"/>
      <c r="AR89" s="30"/>
      <c r="AS89" s="30"/>
    </row>
    <row r="90" spans="6:45" x14ac:dyDescent="0.25">
      <c r="AN90" s="30"/>
      <c r="AO90" s="30"/>
      <c r="AP90" s="30"/>
      <c r="AQ90" s="30"/>
      <c r="AR90" s="30"/>
      <c r="AS90" s="30"/>
    </row>
    <row r="91" spans="6:45" x14ac:dyDescent="0.25">
      <c r="AN91" s="30"/>
      <c r="AO91" s="30"/>
      <c r="AP91" s="30"/>
      <c r="AQ91" s="30"/>
      <c r="AR91" s="30"/>
      <c r="AS91" s="30"/>
    </row>
    <row r="92" spans="6:45" x14ac:dyDescent="0.25">
      <c r="AN92" s="30"/>
      <c r="AO92" s="30"/>
      <c r="AP92" s="30"/>
      <c r="AQ92" s="30"/>
      <c r="AR92" s="30"/>
      <c r="AS92" s="30"/>
    </row>
    <row r="93" spans="6:45" x14ac:dyDescent="0.25">
      <c r="F93" s="1" t="s">
        <v>402</v>
      </c>
      <c r="G93" s="1">
        <f>IF(ISNA(VLOOKUP(F93,Scratch!$B$1:$C$3000,2,FALSE)),0,VLOOKUP(F93,Scratch!$B$1:$C$3000,2,FALSE))</f>
        <v>0</v>
      </c>
      <c r="H93" s="1" t="s">
        <v>434</v>
      </c>
      <c r="AN93" s="30"/>
      <c r="AO93" s="30"/>
      <c r="AP93" s="30"/>
      <c r="AQ93" s="30"/>
      <c r="AR93" s="30"/>
      <c r="AS93" s="30"/>
    </row>
    <row r="94" spans="6:45" x14ac:dyDescent="0.25">
      <c r="F94" s="1" t="s">
        <v>403</v>
      </c>
      <c r="G94" s="1">
        <f>IF(ISNA(VLOOKUP(F94,Scratch!$B$1:$C$3000,2,FALSE)),0,VLOOKUP(F94,Scratch!$B$1:$C$3000,2,FALSE))</f>
        <v>0</v>
      </c>
      <c r="H94" s="1" t="s">
        <v>435</v>
      </c>
      <c r="O94" s="4" t="s">
        <v>37</v>
      </c>
      <c r="P94" s="3">
        <f>AF2</f>
        <v>0</v>
      </c>
      <c r="Q94" s="1" t="s">
        <v>49</v>
      </c>
      <c r="R94" s="3">
        <v>2</v>
      </c>
      <c r="T94" s="3"/>
      <c r="U94" s="1" t="s">
        <v>50</v>
      </c>
      <c r="V94" s="3">
        <v>1</v>
      </c>
      <c r="AN94" s="30"/>
      <c r="AO94" s="30"/>
      <c r="AP94" s="30"/>
      <c r="AQ94" s="30"/>
      <c r="AR94" s="30"/>
      <c r="AS94" s="30"/>
    </row>
    <row r="95" spans="6:45" x14ac:dyDescent="0.25">
      <c r="F95" s="1" t="s">
        <v>404</v>
      </c>
      <c r="G95" s="1">
        <f>IF(ISNA(VLOOKUP(F95,Scratch!$B$1:$C$3000,2,FALSE)),0,VLOOKUP(F95,Scratch!$B$1:$C$3000,2,FALSE))</f>
        <v>3</v>
      </c>
      <c r="H95" s="1" t="s">
        <v>321</v>
      </c>
      <c r="O95" s="1" t="s">
        <v>43</v>
      </c>
      <c r="P95" s="3">
        <f>P94*R94</f>
        <v>0</v>
      </c>
      <c r="AN95" s="30"/>
      <c r="AO95" s="30"/>
      <c r="AP95" s="30"/>
      <c r="AQ95" s="30"/>
      <c r="AR95" s="30"/>
      <c r="AS95" s="30"/>
    </row>
    <row r="96" spans="6:45" x14ac:dyDescent="0.25">
      <c r="F96" s="1" t="s">
        <v>405</v>
      </c>
      <c r="G96" s="1">
        <f>IF(ISNA(VLOOKUP(F96,Scratch!$B$1:$C$3000,2,FALSE)),0,VLOOKUP(F96,Scratch!$B$1:$C$3000,2,FALSE))</f>
        <v>0</v>
      </c>
      <c r="H96" s="1" t="s">
        <v>320</v>
      </c>
      <c r="O96" s="1" t="s">
        <v>50</v>
      </c>
      <c r="P96" s="3">
        <f>P94*V94</f>
        <v>0</v>
      </c>
      <c r="AN96" s="30"/>
      <c r="AO96" s="30"/>
      <c r="AP96" s="30"/>
      <c r="AQ96" s="30"/>
      <c r="AR96" s="30"/>
      <c r="AS96" s="30"/>
    </row>
    <row r="97" spans="6:45" x14ac:dyDescent="0.25">
      <c r="F97" s="1" t="s">
        <v>406</v>
      </c>
      <c r="G97" s="1">
        <f>IF(ISNA(VLOOKUP(F97,Scratch!$B$1:$C$3000,2,FALSE)),0,VLOOKUP(F97,Scratch!$B$1:$C$3000,2,FALSE))</f>
        <v>0</v>
      </c>
      <c r="H97" s="1" t="s">
        <v>322</v>
      </c>
      <c r="AN97" s="30"/>
      <c r="AO97" s="30"/>
      <c r="AP97" s="30"/>
      <c r="AQ97" s="30"/>
      <c r="AR97" s="30"/>
      <c r="AS97" s="30"/>
    </row>
    <row r="98" spans="6:45" x14ac:dyDescent="0.25">
      <c r="F98" s="1" t="s">
        <v>407</v>
      </c>
      <c r="G98" s="1">
        <f>IF(ISNA(VLOOKUP(F98,Scratch!$B$1:$C$3000,2,FALSE)),0,VLOOKUP(F98,Scratch!$B$1:$C$3000,2,FALSE))</f>
        <v>0</v>
      </c>
      <c r="H98" s="1" t="s">
        <v>345</v>
      </c>
      <c r="O98" s="5" t="s">
        <v>38</v>
      </c>
      <c r="P98" s="3">
        <f>AF6</f>
        <v>0</v>
      </c>
      <c r="Q98" s="1" t="s">
        <v>52</v>
      </c>
      <c r="R98" s="3">
        <v>4</v>
      </c>
      <c r="S98" s="1" t="s">
        <v>53</v>
      </c>
      <c r="T98" s="3">
        <v>4</v>
      </c>
      <c r="U98" s="1" t="s">
        <v>32</v>
      </c>
      <c r="V98" s="3">
        <v>1</v>
      </c>
      <c r="AN98" s="30"/>
      <c r="AO98" s="30"/>
      <c r="AP98" s="30"/>
      <c r="AQ98" s="30"/>
      <c r="AR98" s="30"/>
      <c r="AS98" s="30"/>
    </row>
    <row r="99" spans="6:45" x14ac:dyDescent="0.25">
      <c r="F99" s="1" t="s">
        <v>408</v>
      </c>
      <c r="G99" s="1">
        <f>IF(ISNA(VLOOKUP(F99,Scratch!$B$1:$C$3000,2,FALSE)),0,VLOOKUP(F99,Scratch!$B$1:$C$3000,2,FALSE))</f>
        <v>0</v>
      </c>
      <c r="O99" s="1" t="s">
        <v>52</v>
      </c>
      <c r="P99" s="3">
        <f>P98*R98</f>
        <v>0</v>
      </c>
      <c r="AN99" s="30"/>
      <c r="AO99" s="30"/>
      <c r="AP99" s="30"/>
      <c r="AQ99" s="30"/>
      <c r="AR99" s="30"/>
      <c r="AS99" s="30"/>
    </row>
    <row r="100" spans="6:45" x14ac:dyDescent="0.25">
      <c r="F100" s="1" t="s">
        <v>409</v>
      </c>
      <c r="G100" s="1">
        <f>IF(ISNA(VLOOKUP(F100,Scratch!$B$1:$C$3000,2,FALSE)),0,VLOOKUP(F100,Scratch!$B$1:$C$3000,2,FALSE))</f>
        <v>2</v>
      </c>
      <c r="O100" s="1" t="s">
        <v>53</v>
      </c>
      <c r="P100" s="3">
        <f>P98*T98</f>
        <v>0</v>
      </c>
      <c r="AN100" s="30"/>
      <c r="AO100" s="30"/>
      <c r="AP100" s="30"/>
      <c r="AQ100" s="30"/>
      <c r="AR100" s="30"/>
      <c r="AS100" s="30"/>
    </row>
    <row r="101" spans="6:45" x14ac:dyDescent="0.25">
      <c r="F101" s="1" t="s">
        <v>410</v>
      </c>
      <c r="G101" s="1">
        <f>IF(ISNA(VLOOKUP(F101,Scratch!$B$1:$C$3000,2,FALSE)),0,VLOOKUP(F101,Scratch!$B$1:$C$3000,2,FALSE))</f>
        <v>0</v>
      </c>
      <c r="O101" s="1" t="s">
        <v>32</v>
      </c>
      <c r="P101" s="3">
        <f>P98*V98</f>
        <v>0</v>
      </c>
    </row>
    <row r="102" spans="6:45" x14ac:dyDescent="0.25">
      <c r="F102" s="1" t="s">
        <v>411</v>
      </c>
      <c r="G102" s="1">
        <f>SUM(G93:G101)</f>
        <v>5</v>
      </c>
    </row>
    <row r="103" spans="6:45" x14ac:dyDescent="0.25">
      <c r="O103" s="6" t="s">
        <v>44</v>
      </c>
      <c r="P103" s="3">
        <f>AF8</f>
        <v>0</v>
      </c>
      <c r="Q103" s="1" t="s">
        <v>51</v>
      </c>
      <c r="R103" s="3">
        <v>1</v>
      </c>
      <c r="T103" s="3"/>
      <c r="U103" s="1" t="s">
        <v>32</v>
      </c>
      <c r="V103" s="3">
        <v>1</v>
      </c>
    </row>
    <row r="104" spans="6:45" x14ac:dyDescent="0.25">
      <c r="O104" s="1" t="s">
        <v>45</v>
      </c>
      <c r="P104" s="3">
        <f>P103*R103</f>
        <v>0</v>
      </c>
    </row>
    <row r="105" spans="6:45" x14ac:dyDescent="0.25">
      <c r="O105" s="1" t="s">
        <v>46</v>
      </c>
      <c r="P105" s="3">
        <f>P103</f>
        <v>0</v>
      </c>
    </row>
    <row r="107" spans="6:45" x14ac:dyDescent="0.25">
      <c r="O107" s="21" t="s">
        <v>372</v>
      </c>
      <c r="P107" s="3">
        <f>AF5</f>
        <v>0</v>
      </c>
      <c r="Q107" s="1" t="s">
        <v>374</v>
      </c>
      <c r="R107" s="3">
        <v>1</v>
      </c>
      <c r="S107" s="1" t="s">
        <v>147</v>
      </c>
      <c r="T107" s="3">
        <v>1</v>
      </c>
      <c r="U107" s="1" t="s">
        <v>32</v>
      </c>
      <c r="V107" s="3">
        <v>1</v>
      </c>
    </row>
    <row r="108" spans="6:45" x14ac:dyDescent="0.25">
      <c r="O108" s="1" t="s">
        <v>374</v>
      </c>
      <c r="P108" s="3">
        <f>R107*$P$107</f>
        <v>0</v>
      </c>
      <c r="R108" s="3"/>
      <c r="T108" s="3"/>
      <c r="V108" s="3"/>
    </row>
    <row r="109" spans="6:45" x14ac:dyDescent="0.25">
      <c r="O109" s="1" t="s">
        <v>147</v>
      </c>
      <c r="P109" s="3">
        <f>T107*$P$107</f>
        <v>0</v>
      </c>
      <c r="R109" s="3"/>
      <c r="T109" s="3"/>
      <c r="V109" s="3"/>
    </row>
    <row r="110" spans="6:45" x14ac:dyDescent="0.25">
      <c r="O110" s="1" t="s">
        <v>46</v>
      </c>
      <c r="P110" s="3">
        <f>V107*$P$107</f>
        <v>0</v>
      </c>
      <c r="R110" s="3"/>
      <c r="T110" s="3"/>
      <c r="V110" s="3"/>
    </row>
    <row r="111" spans="6:45" x14ac:dyDescent="0.25">
      <c r="R111" s="3"/>
      <c r="T111" s="3"/>
      <c r="V111" s="3"/>
    </row>
    <row r="112" spans="6:45" x14ac:dyDescent="0.25">
      <c r="O112" s="22" t="s">
        <v>378</v>
      </c>
      <c r="P112" s="3">
        <f>AF4</f>
        <v>0</v>
      </c>
      <c r="Q112" s="1" t="s">
        <v>380</v>
      </c>
      <c r="R112" s="3">
        <v>2</v>
      </c>
      <c r="T112" s="3"/>
      <c r="U112" s="1" t="s">
        <v>50</v>
      </c>
      <c r="V112" s="3">
        <v>1</v>
      </c>
    </row>
    <row r="113" spans="15:22" x14ac:dyDescent="0.25">
      <c r="O113" s="1" t="s">
        <v>379</v>
      </c>
      <c r="P113" s="3">
        <f>P112*R112</f>
        <v>0</v>
      </c>
      <c r="R113" s="3"/>
      <c r="T113" s="3"/>
      <c r="V113" s="3"/>
    </row>
    <row r="114" spans="15:22" x14ac:dyDescent="0.25">
      <c r="O114" s="1" t="s">
        <v>94</v>
      </c>
      <c r="P114" s="3">
        <f>P112*V112</f>
        <v>0</v>
      </c>
      <c r="R114" s="3"/>
      <c r="T114" s="3"/>
      <c r="V114" s="3"/>
    </row>
    <row r="115" spans="15:22" x14ac:dyDescent="0.25">
      <c r="R115" s="3"/>
      <c r="T115" s="3"/>
      <c r="V115" s="3"/>
    </row>
    <row r="116" spans="15:22" x14ac:dyDescent="0.25">
      <c r="O116" s="28" t="s">
        <v>429</v>
      </c>
      <c r="P116" s="3">
        <f>AF7</f>
        <v>0</v>
      </c>
      <c r="Q116" s="1" t="s">
        <v>349</v>
      </c>
      <c r="R116" s="3">
        <v>2</v>
      </c>
      <c r="T116" s="3"/>
      <c r="V116" s="3"/>
    </row>
    <row r="117" spans="15:22" x14ac:dyDescent="0.25">
      <c r="O117" s="1" t="s">
        <v>349</v>
      </c>
      <c r="P117" s="3">
        <f>P116*R116</f>
        <v>0</v>
      </c>
      <c r="R117" s="3"/>
      <c r="T117" s="3"/>
      <c r="V117" s="3"/>
    </row>
    <row r="118" spans="15:22" x14ac:dyDescent="0.25">
      <c r="P118" s="3"/>
      <c r="R118" s="3"/>
      <c r="T118" s="3"/>
      <c r="V118" s="3"/>
    </row>
    <row r="119" spans="15:22" x14ac:dyDescent="0.25">
      <c r="O119" s="29" t="s">
        <v>430</v>
      </c>
      <c r="P119" s="3">
        <f>AF9</f>
        <v>0</v>
      </c>
      <c r="Q119" s="1" t="s">
        <v>351</v>
      </c>
      <c r="R119" s="3">
        <v>1</v>
      </c>
      <c r="S119" s="1" t="s">
        <v>428</v>
      </c>
      <c r="T119" s="3">
        <v>1</v>
      </c>
      <c r="U119" s="1" t="s">
        <v>350</v>
      </c>
      <c r="V119" s="3">
        <v>1</v>
      </c>
    </row>
    <row r="120" spans="15:22" x14ac:dyDescent="0.25">
      <c r="O120" s="1" t="s">
        <v>351</v>
      </c>
      <c r="P120" s="3">
        <f>P119*R119</f>
        <v>0</v>
      </c>
      <c r="R120" s="3"/>
      <c r="T120" s="3"/>
      <c r="V120" s="3"/>
    </row>
    <row r="121" spans="15:22" x14ac:dyDescent="0.25">
      <c r="O121" s="1" t="s">
        <v>428</v>
      </c>
      <c r="P121" s="3">
        <f>P119*T119</f>
        <v>0</v>
      </c>
      <c r="V121" s="3"/>
    </row>
    <row r="122" spans="15:22" x14ac:dyDescent="0.25">
      <c r="O122" s="1" t="s">
        <v>350</v>
      </c>
      <c r="P122" s="3">
        <f>P119*V119</f>
        <v>0</v>
      </c>
      <c r="V122" s="3"/>
    </row>
    <row r="124" spans="15:22" x14ac:dyDescent="0.25">
      <c r="O124" s="4" t="s">
        <v>450</v>
      </c>
      <c r="P124" s="3">
        <f>P46</f>
        <v>0</v>
      </c>
      <c r="Q124" s="1" t="s">
        <v>319</v>
      </c>
      <c r="R124" s="3">
        <v>2</v>
      </c>
    </row>
    <row r="125" spans="15:22" x14ac:dyDescent="0.25">
      <c r="O125" s="1" t="s">
        <v>319</v>
      </c>
      <c r="P125" s="3">
        <f>P124*R124</f>
        <v>0</v>
      </c>
    </row>
  </sheetData>
  <sheetProtection password="AE63" sheet="1" objects="1" scenarios="1"/>
  <mergeCells count="2">
    <mergeCell ref="AI6:AL8"/>
    <mergeCell ref="AI10:AL32"/>
  </mergeCells>
  <conditionalFormatting sqref="Z2:Z59 AE18:AE39 C2:C49 AE2:AE9">
    <cfRule type="cellIs" dxfId="10" priority="31" operator="lessThan">
      <formula>0</formula>
    </cfRule>
    <cfRule type="cellIs" dxfId="9" priority="32" operator="greaterThan">
      <formula>-1</formula>
    </cfRule>
  </conditionalFormatting>
  <conditionalFormatting sqref="AE12:AE15">
    <cfRule type="cellIs" dxfId="8" priority="21" operator="lessThan">
      <formula>0</formula>
    </cfRule>
    <cfRule type="cellIs" dxfId="7" priority="22" operator="greaterThan">
      <formula>-1</formula>
    </cfRule>
  </conditionalFormatting>
  <conditionalFormatting sqref="AI2:AI4">
    <cfRule type="containsText" dxfId="6" priority="6" operator="containsText" text="MC">
      <formula>NOT(ISERROR(SEARCH("MC",AI2)))</formula>
    </cfRule>
    <cfRule type="containsText" dxfId="5" priority="7" operator="containsText" text="ONY">
      <formula>NOT(ISERROR(SEARCH("ONY",AI2)))</formula>
    </cfRule>
    <cfRule type="containsText" dxfId="4" priority="16" operator="containsText" text="NAXX">
      <formula>NOT(ISERROR(SEARCH("NAXX",AI2)))</formula>
    </cfRule>
    <cfRule type="containsText" dxfId="3" priority="17" operator="containsText" text="BWL">
      <formula>NOT(ISERROR(SEARCH("BWL",AI2)))</formula>
    </cfRule>
    <cfRule type="containsText" dxfId="2" priority="18" operator="containsText" text="AQ40">
      <formula>NOT(ISERROR(SEARCH("AQ40",AI2)))</formula>
    </cfRule>
  </conditionalFormatting>
  <conditionalFormatting sqref="AF12:AF15 AA2:AA59 AG35:AG39 AG24:AG26 AF24:AF39 AF18:AG23 D2:D49 AF2:AF9">
    <cfRule type="cellIs" dxfId="1" priority="15" operator="equal">
      <formula>0</formula>
    </cfRule>
  </conditionalFormatting>
  <conditionalFormatting sqref="AG27:AG34">
    <cfRule type="cellIs" dxfId="0" priority="11" operator="equal">
      <formula>0</formula>
    </cfRule>
  </conditionalFormatting>
  <dataValidations count="1">
    <dataValidation type="list" allowBlank="1" showInputMessage="1" showErrorMessage="1" sqref="AI2:AI4">
      <formula1>$H$93:$H$98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5" r:id="rId4" name="Button 43">
              <controlPr defaultSize="0" print="0" autoFill="0" autoPict="0" macro="[0]!Macro1">
                <anchor moveWithCells="1" sizeWithCells="1">
                  <from>
                    <xdr:col>36</xdr:col>
                    <xdr:colOff>9525</xdr:colOff>
                    <xdr:row>0</xdr:row>
                    <xdr:rowOff>0</xdr:rowOff>
                  </from>
                  <to>
                    <xdr:col>37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S109"/>
  <sheetViews>
    <sheetView topLeftCell="C1" zoomScaleNormal="100" workbookViewId="0">
      <selection activeCell="C33" sqref="C33"/>
    </sheetView>
  </sheetViews>
  <sheetFormatPr defaultRowHeight="15" x14ac:dyDescent="0.25"/>
  <cols>
    <col min="1" max="2" width="9.140625" style="1"/>
    <col min="3" max="3" width="30.85546875" style="1" bestFit="1" customWidth="1"/>
    <col min="4" max="4" width="9.140625" style="1"/>
    <col min="5" max="5" width="20.28515625" style="1" bestFit="1" customWidth="1"/>
    <col min="6" max="6" width="2.28515625" style="1" bestFit="1" customWidth="1"/>
    <col min="7" max="7" width="10.7109375" style="1" bestFit="1" customWidth="1"/>
    <col min="8" max="8" width="2.28515625" style="1" bestFit="1" customWidth="1"/>
    <col min="9" max="9" width="5.5703125" style="1" bestFit="1" customWidth="1"/>
    <col min="10" max="10" width="9.140625" style="1"/>
    <col min="11" max="11" width="21.5703125" style="1" bestFit="1" customWidth="1"/>
    <col min="12" max="12" width="16.28515625" style="1" bestFit="1" customWidth="1"/>
    <col min="13" max="14" width="9.140625" style="1"/>
    <col min="15" max="15" width="13.42578125" style="1" bestFit="1" customWidth="1"/>
    <col min="16" max="16" width="15.7109375" style="1" bestFit="1" customWidth="1"/>
    <col min="17" max="16384" width="9.140625" style="1"/>
  </cols>
  <sheetData>
    <row r="3" spans="2:5" x14ac:dyDescent="0.25">
      <c r="B3" s="25"/>
      <c r="C3" s="25"/>
      <c r="D3" s="25"/>
      <c r="E3" s="25"/>
    </row>
    <row r="14" spans="2:5" x14ac:dyDescent="0.25">
      <c r="B14" s="25"/>
      <c r="C14" s="25"/>
      <c r="D14" s="25"/>
      <c r="E14" s="25"/>
    </row>
    <row r="17" spans="9:19" x14ac:dyDescent="0.25">
      <c r="I17" s="52">
        <v>27</v>
      </c>
      <c r="J17" s="52">
        <f>I17-(N17+N18)</f>
        <v>-0.53333333333333499</v>
      </c>
      <c r="K17" s="52" t="s">
        <v>441</v>
      </c>
      <c r="L17" s="1" t="s">
        <v>194</v>
      </c>
      <c r="M17" s="1">
        <f>VLOOKUP(L17,Scratch!$B$1:$C$3000,2,FALSE)</f>
        <v>210</v>
      </c>
      <c r="N17" s="1">
        <f>M17/30</f>
        <v>7</v>
      </c>
      <c r="O17" s="52">
        <f>P17-(M17+M18)</f>
        <v>-16</v>
      </c>
      <c r="P17" s="52">
        <v>810</v>
      </c>
    </row>
    <row r="18" spans="9:19" x14ac:dyDescent="0.25">
      <c r="I18" s="53"/>
      <c r="J18" s="53"/>
      <c r="K18" s="53"/>
      <c r="L18" s="1" t="s">
        <v>231</v>
      </c>
      <c r="M18" s="1">
        <f>VLOOKUP(L18,Scratch!$B$1:$C$3000,2,FALSE)</f>
        <v>616</v>
      </c>
      <c r="N18" s="1">
        <f>M18/30</f>
        <v>20.533333333333335</v>
      </c>
      <c r="O18" s="53"/>
      <c r="P18" s="53"/>
    </row>
    <row r="19" spans="9:19" x14ac:dyDescent="0.25">
      <c r="I19" s="52">
        <v>27</v>
      </c>
      <c r="J19" s="52">
        <f>I19-(N19+N20)</f>
        <v>23.8</v>
      </c>
      <c r="K19" s="52" t="s">
        <v>440</v>
      </c>
      <c r="L19" s="1" t="s">
        <v>187</v>
      </c>
      <c r="M19" s="1">
        <f>VLOOKUP(L19,Scratch!$B$1:$C$3000,2,FALSE)</f>
        <v>66</v>
      </c>
      <c r="N19" s="1">
        <f>M19/30</f>
        <v>2.2000000000000002</v>
      </c>
      <c r="O19" s="52">
        <f>P19-(M19+M20)</f>
        <v>714</v>
      </c>
      <c r="P19" s="52">
        <v>810</v>
      </c>
    </row>
    <row r="20" spans="9:19" x14ac:dyDescent="0.25">
      <c r="I20" s="53"/>
      <c r="J20" s="53"/>
      <c r="K20" s="53"/>
      <c r="L20" s="1" t="s">
        <v>195</v>
      </c>
      <c r="M20" s="1">
        <f>VLOOKUP(L20,Scratch!$B$1:$C$3000,2,FALSE)</f>
        <v>30</v>
      </c>
      <c r="N20" s="1">
        <f>M20/30</f>
        <v>1</v>
      </c>
      <c r="O20" s="53"/>
      <c r="P20" s="53"/>
    </row>
    <row r="25" spans="9:19" x14ac:dyDescent="0.25">
      <c r="L25" s="18"/>
      <c r="M25" s="18"/>
      <c r="N25" s="18"/>
      <c r="O25" s="18"/>
      <c r="P25" s="18"/>
      <c r="Q25" s="18"/>
      <c r="R25" s="18"/>
      <c r="S25" s="18"/>
    </row>
    <row r="26" spans="9:19" x14ac:dyDescent="0.25">
      <c r="N26" s="18"/>
      <c r="O26" s="18"/>
    </row>
    <row r="27" spans="9:19" x14ac:dyDescent="0.25">
      <c r="L27" s="24"/>
      <c r="N27" s="24"/>
    </row>
    <row r="28" spans="9:19" x14ac:dyDescent="0.25">
      <c r="L28" s="24"/>
      <c r="N28" s="24"/>
    </row>
    <row r="29" spans="9:19" x14ac:dyDescent="0.25">
      <c r="L29" s="24"/>
    </row>
    <row r="30" spans="9:19" x14ac:dyDescent="0.25">
      <c r="L30" s="24"/>
    </row>
    <row r="31" spans="9:19" x14ac:dyDescent="0.25">
      <c r="L31" s="24"/>
    </row>
    <row r="85" spans="6:14" x14ac:dyDescent="0.25">
      <c r="F85" s="20"/>
      <c r="N85" s="14"/>
    </row>
    <row r="86" spans="6:14" x14ac:dyDescent="0.25">
      <c r="N86" s="14"/>
    </row>
    <row r="87" spans="6:14" x14ac:dyDescent="0.25">
      <c r="N87" s="14"/>
    </row>
    <row r="88" spans="6:14" x14ac:dyDescent="0.25">
      <c r="N88" s="14"/>
    </row>
    <row r="89" spans="6:14" x14ac:dyDescent="0.25">
      <c r="F89" s="20"/>
      <c r="H89" s="19"/>
      <c r="N89" s="14"/>
    </row>
    <row r="90" spans="6:14" x14ac:dyDescent="0.25">
      <c r="N90" s="14"/>
    </row>
    <row r="91" spans="6:14" x14ac:dyDescent="0.25">
      <c r="N91" s="14"/>
    </row>
    <row r="92" spans="6:14" x14ac:dyDescent="0.25">
      <c r="N92" s="14"/>
    </row>
    <row r="93" spans="6:14" x14ac:dyDescent="0.25">
      <c r="N93" s="14"/>
    </row>
    <row r="94" spans="6:14" x14ac:dyDescent="0.25">
      <c r="N94" s="14"/>
    </row>
    <row r="95" spans="6:14" x14ac:dyDescent="0.25">
      <c r="F95" s="20"/>
      <c r="N95" s="14"/>
    </row>
    <row r="96" spans="6:14" x14ac:dyDescent="0.25">
      <c r="N96" s="14"/>
    </row>
    <row r="97" spans="6:14" x14ac:dyDescent="0.25">
      <c r="N97" s="14"/>
    </row>
    <row r="98" spans="6:14" x14ac:dyDescent="0.25">
      <c r="N98" s="14"/>
    </row>
    <row r="99" spans="6:14" x14ac:dyDescent="0.25">
      <c r="N99" s="14"/>
    </row>
    <row r="100" spans="6:14" x14ac:dyDescent="0.25">
      <c r="F100" s="20"/>
      <c r="N100" s="14"/>
    </row>
    <row r="101" spans="6:14" x14ac:dyDescent="0.25">
      <c r="N101" s="14"/>
    </row>
    <row r="102" spans="6:14" x14ac:dyDescent="0.25">
      <c r="N102" s="14"/>
    </row>
    <row r="103" spans="6:14" x14ac:dyDescent="0.25">
      <c r="N103" s="14"/>
    </row>
    <row r="104" spans="6:14" x14ac:dyDescent="0.25">
      <c r="N104" s="14"/>
    </row>
    <row r="105" spans="6:14" x14ac:dyDescent="0.25">
      <c r="N105" s="14"/>
    </row>
    <row r="106" spans="6:14" x14ac:dyDescent="0.25">
      <c r="N106" s="14"/>
    </row>
    <row r="107" spans="6:14" x14ac:dyDescent="0.25">
      <c r="N107" s="14"/>
    </row>
    <row r="108" spans="6:14" x14ac:dyDescent="0.25">
      <c r="N108" s="14"/>
    </row>
    <row r="109" spans="6:14" x14ac:dyDescent="0.25">
      <c r="N109" s="14"/>
    </row>
  </sheetData>
  <sortState ref="N85:N109">
    <sortCondition descending="1" ref="N85"/>
  </sortState>
  <mergeCells count="10">
    <mergeCell ref="I17:I18"/>
    <mergeCell ref="I19:I20"/>
    <mergeCell ref="J17:J18"/>
    <mergeCell ref="J19:J20"/>
    <mergeCell ref="P19:P20"/>
    <mergeCell ref="P17:P18"/>
    <mergeCell ref="O17:O18"/>
    <mergeCell ref="O19:O20"/>
    <mergeCell ref="K17:K18"/>
    <mergeCell ref="K19:K20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3000"/>
  <sheetViews>
    <sheetView zoomScaleNormal="100" workbookViewId="0">
      <selection activeCell="B1" sqref="B1:C3000"/>
    </sheetView>
  </sheetViews>
  <sheetFormatPr defaultRowHeight="15" x14ac:dyDescent="0.25"/>
  <cols>
    <col min="1" max="1" width="28.140625" style="33" customWidth="1"/>
    <col min="2" max="2" width="37.7109375" style="33" customWidth="1"/>
    <col min="3" max="8" width="9.140625" style="33" customWidth="1"/>
    <col min="9" max="9" width="9.140625" style="33"/>
    <col min="10" max="10" width="20.85546875" style="33" bestFit="1" customWidth="1"/>
    <col min="11" max="13" width="9.140625" style="33"/>
    <col min="14" max="14" width="31.85546875" style="33" bestFit="1" customWidth="1"/>
    <col min="15" max="15" width="7" style="33" customWidth="1"/>
    <col min="16" max="16" width="7.85546875" style="33" customWidth="1"/>
    <col min="17" max="17" width="8.140625" style="33" customWidth="1"/>
    <col min="18" max="18" width="4.42578125" style="33" bestFit="1" customWidth="1"/>
    <col min="19" max="19" width="9.140625" style="33"/>
    <col min="20" max="20" width="20.7109375" style="33" bestFit="1" customWidth="1"/>
    <col min="21" max="16384" width="9.140625" style="33"/>
  </cols>
  <sheetData>
    <row r="1" spans="1:19" ht="30" x14ac:dyDescent="0.25">
      <c r="A1" s="32"/>
      <c r="B1" s="7">
        <v>1</v>
      </c>
      <c r="C1" s="33" t="s">
        <v>468</v>
      </c>
      <c r="I1" s="33" t="s">
        <v>99</v>
      </c>
      <c r="J1" s="34" t="s">
        <v>106</v>
      </c>
      <c r="M1" s="35"/>
      <c r="S1" s="36"/>
    </row>
    <row r="2" spans="1:19" x14ac:dyDescent="0.25">
      <c r="B2" s="7" t="s">
        <v>265</v>
      </c>
      <c r="C2" s="33">
        <v>1</v>
      </c>
      <c r="M2" s="35"/>
      <c r="S2" s="36"/>
    </row>
    <row r="3" spans="1:19" x14ac:dyDescent="0.25">
      <c r="B3" s="7" t="s">
        <v>176</v>
      </c>
      <c r="C3" s="33">
        <v>1</v>
      </c>
      <c r="M3" s="35"/>
      <c r="S3" s="36"/>
    </row>
    <row r="4" spans="1:19" x14ac:dyDescent="0.25">
      <c r="B4" s="7" t="s">
        <v>59</v>
      </c>
      <c r="C4" s="33">
        <v>1</v>
      </c>
      <c r="M4" s="35"/>
      <c r="S4" s="36"/>
    </row>
    <row r="5" spans="1:19" x14ac:dyDescent="0.25">
      <c r="B5" s="7" t="s">
        <v>264</v>
      </c>
      <c r="C5" s="33">
        <v>2</v>
      </c>
      <c r="M5" s="35"/>
      <c r="S5" s="36"/>
    </row>
    <row r="6" spans="1:19" x14ac:dyDescent="0.25">
      <c r="B6" s="7" t="s">
        <v>482</v>
      </c>
      <c r="C6" s="33">
        <v>102</v>
      </c>
      <c r="M6" s="35"/>
      <c r="S6" s="36"/>
    </row>
    <row r="7" spans="1:19" x14ac:dyDescent="0.25">
      <c r="B7" s="7" t="s">
        <v>292</v>
      </c>
      <c r="C7" s="33">
        <v>1</v>
      </c>
      <c r="M7" s="35"/>
      <c r="S7" s="36"/>
    </row>
    <row r="8" spans="1:19" x14ac:dyDescent="0.25">
      <c r="B8" s="7" t="s">
        <v>224</v>
      </c>
      <c r="C8" s="33">
        <v>24</v>
      </c>
      <c r="M8" s="35"/>
      <c r="S8" s="36"/>
    </row>
    <row r="9" spans="1:19" x14ac:dyDescent="0.25">
      <c r="B9" s="7" t="s">
        <v>209</v>
      </c>
      <c r="C9" s="33">
        <v>11</v>
      </c>
      <c r="M9" s="35"/>
      <c r="S9" s="36"/>
    </row>
    <row r="10" spans="1:19" x14ac:dyDescent="0.25">
      <c r="B10" s="7" t="s">
        <v>283</v>
      </c>
      <c r="C10" s="33">
        <v>1</v>
      </c>
      <c r="M10" s="35"/>
      <c r="S10" s="36"/>
    </row>
    <row r="11" spans="1:19" ht="15" customHeight="1" x14ac:dyDescent="0.25">
      <c r="B11" s="7" t="s">
        <v>118</v>
      </c>
      <c r="C11" s="33">
        <v>1</v>
      </c>
      <c r="M11" s="35"/>
      <c r="S11" s="36"/>
    </row>
    <row r="12" spans="1:19" ht="15" customHeight="1" x14ac:dyDescent="0.25">
      <c r="B12" s="7" t="s">
        <v>235</v>
      </c>
      <c r="C12" s="33">
        <v>1</v>
      </c>
      <c r="M12" s="35"/>
      <c r="S12" s="36"/>
    </row>
    <row r="13" spans="1:19" ht="15" customHeight="1" x14ac:dyDescent="0.25">
      <c r="B13" s="7" t="s">
        <v>57</v>
      </c>
      <c r="C13" s="33">
        <v>1</v>
      </c>
      <c r="M13" s="35"/>
      <c r="S13" s="36"/>
    </row>
    <row r="14" spans="1:19" ht="15" customHeight="1" x14ac:dyDescent="0.25">
      <c r="B14" s="7" t="s">
        <v>124</v>
      </c>
      <c r="C14" s="33">
        <v>1</v>
      </c>
      <c r="M14" s="35"/>
      <c r="S14" s="36"/>
    </row>
    <row r="15" spans="1:19" x14ac:dyDescent="0.25">
      <c r="B15" s="7" t="s">
        <v>251</v>
      </c>
      <c r="C15" s="33">
        <v>1</v>
      </c>
      <c r="M15" s="35"/>
      <c r="S15" s="36"/>
    </row>
    <row r="16" spans="1:19" x14ac:dyDescent="0.25">
      <c r="B16" s="7" t="s">
        <v>239</v>
      </c>
      <c r="C16" s="33">
        <v>1</v>
      </c>
      <c r="M16" s="35"/>
      <c r="S16" s="36"/>
    </row>
    <row r="17" spans="2:19" x14ac:dyDescent="0.25">
      <c r="B17" s="7" t="s">
        <v>527</v>
      </c>
      <c r="C17" s="33">
        <v>1</v>
      </c>
      <c r="M17" s="35"/>
      <c r="S17" s="36"/>
    </row>
    <row r="18" spans="2:19" x14ac:dyDescent="0.25">
      <c r="B18" s="7" t="s">
        <v>204</v>
      </c>
      <c r="C18" s="33">
        <v>1</v>
      </c>
      <c r="M18" s="35"/>
      <c r="S18" s="36"/>
    </row>
    <row r="19" spans="2:19" x14ac:dyDescent="0.25">
      <c r="B19" s="7" t="s">
        <v>47</v>
      </c>
      <c r="C19" s="33">
        <v>7</v>
      </c>
      <c r="M19" s="35"/>
      <c r="S19" s="36"/>
    </row>
    <row r="20" spans="2:19" x14ac:dyDescent="0.25">
      <c r="B20" s="7" t="s">
        <v>313</v>
      </c>
      <c r="C20" s="33">
        <v>7</v>
      </c>
      <c r="M20" s="35"/>
      <c r="S20" s="36"/>
    </row>
    <row r="21" spans="2:19" x14ac:dyDescent="0.25">
      <c r="B21" s="7" t="s">
        <v>464</v>
      </c>
      <c r="C21" s="33">
        <v>1</v>
      </c>
      <c r="M21" s="35"/>
      <c r="S21" s="36"/>
    </row>
    <row r="22" spans="2:19" x14ac:dyDescent="0.25">
      <c r="B22" s="7" t="s">
        <v>103</v>
      </c>
      <c r="C22" s="33">
        <v>10</v>
      </c>
      <c r="M22" s="35"/>
      <c r="S22" s="36"/>
    </row>
    <row r="23" spans="2:19" x14ac:dyDescent="0.25">
      <c r="B23" s="7" t="s">
        <v>333</v>
      </c>
      <c r="C23" s="33">
        <v>2</v>
      </c>
      <c r="M23" s="35"/>
      <c r="S23" s="36"/>
    </row>
    <row r="24" spans="2:19" x14ac:dyDescent="0.25">
      <c r="B24" s="7" t="s">
        <v>451</v>
      </c>
      <c r="C24" s="33">
        <v>4</v>
      </c>
      <c r="M24" s="35"/>
      <c r="S24" s="36"/>
    </row>
    <row r="25" spans="2:19" x14ac:dyDescent="0.25">
      <c r="B25" s="7" t="s">
        <v>219</v>
      </c>
      <c r="C25" s="33">
        <v>1</v>
      </c>
      <c r="M25" s="35"/>
      <c r="S25" s="36"/>
    </row>
    <row r="26" spans="2:19" x14ac:dyDescent="0.25">
      <c r="B26" s="7" t="s">
        <v>258</v>
      </c>
      <c r="C26" s="33">
        <v>1</v>
      </c>
      <c r="M26" s="35"/>
      <c r="S26" s="36"/>
    </row>
    <row r="27" spans="2:19" x14ac:dyDescent="0.25">
      <c r="B27" s="7" t="s">
        <v>187</v>
      </c>
      <c r="C27" s="33">
        <v>66</v>
      </c>
      <c r="M27" s="35"/>
      <c r="S27" s="36"/>
    </row>
    <row r="28" spans="2:19" x14ac:dyDescent="0.25">
      <c r="B28" s="7" t="s">
        <v>261</v>
      </c>
      <c r="C28" s="33">
        <v>1</v>
      </c>
      <c r="M28" s="35"/>
      <c r="S28" s="36"/>
    </row>
    <row r="29" spans="2:19" x14ac:dyDescent="0.25">
      <c r="B29" s="7" t="s">
        <v>222</v>
      </c>
      <c r="C29" s="33">
        <v>1</v>
      </c>
      <c r="M29" s="35"/>
      <c r="S29" s="36"/>
    </row>
    <row r="30" spans="2:19" x14ac:dyDescent="0.25">
      <c r="B30" s="7" t="s">
        <v>509</v>
      </c>
      <c r="C30" s="33">
        <v>1</v>
      </c>
      <c r="M30" s="35"/>
      <c r="S30" s="36"/>
    </row>
    <row r="31" spans="2:19" x14ac:dyDescent="0.25">
      <c r="B31" s="7" t="s">
        <v>347</v>
      </c>
      <c r="C31" s="33">
        <v>1</v>
      </c>
      <c r="M31" s="35"/>
      <c r="S31" s="36"/>
    </row>
    <row r="32" spans="2:19" x14ac:dyDescent="0.25">
      <c r="B32" s="7" t="s">
        <v>145</v>
      </c>
      <c r="C32" s="33">
        <v>19</v>
      </c>
      <c r="M32" s="35"/>
      <c r="S32" s="36"/>
    </row>
    <row r="33" spans="2:19" x14ac:dyDescent="0.25">
      <c r="B33" s="7" t="s">
        <v>526</v>
      </c>
      <c r="C33" s="33">
        <v>1</v>
      </c>
      <c r="M33" s="35"/>
      <c r="S33" s="36"/>
    </row>
    <row r="34" spans="2:19" x14ac:dyDescent="0.25">
      <c r="B34" s="7" t="s">
        <v>165</v>
      </c>
      <c r="C34" s="33">
        <v>14</v>
      </c>
      <c r="M34" s="35"/>
      <c r="S34" s="36"/>
    </row>
    <row r="35" spans="2:19" x14ac:dyDescent="0.25">
      <c r="B35" s="7" t="s">
        <v>245</v>
      </c>
      <c r="C35" s="33">
        <v>2</v>
      </c>
      <c r="M35" s="35"/>
      <c r="S35" s="36"/>
    </row>
    <row r="36" spans="2:19" x14ac:dyDescent="0.25">
      <c r="B36" s="7" t="s">
        <v>263</v>
      </c>
      <c r="C36" s="33">
        <v>5</v>
      </c>
      <c r="M36" s="35"/>
      <c r="S36" s="36"/>
    </row>
    <row r="37" spans="2:19" x14ac:dyDescent="0.25">
      <c r="B37" s="7" t="s">
        <v>207</v>
      </c>
      <c r="C37" s="33">
        <v>124</v>
      </c>
      <c r="M37" s="35"/>
      <c r="S37" s="36"/>
    </row>
    <row r="38" spans="2:19" x14ac:dyDescent="0.25">
      <c r="B38" s="7" t="s">
        <v>110</v>
      </c>
      <c r="C38" s="33">
        <v>1</v>
      </c>
      <c r="M38" s="35"/>
      <c r="S38" s="36"/>
    </row>
    <row r="39" spans="2:19" x14ac:dyDescent="0.25">
      <c r="B39" s="7" t="s">
        <v>129</v>
      </c>
      <c r="C39" s="33">
        <v>1</v>
      </c>
      <c r="M39" s="35"/>
      <c r="S39" s="36"/>
    </row>
    <row r="40" spans="2:19" x14ac:dyDescent="0.25">
      <c r="B40" s="7" t="s">
        <v>141</v>
      </c>
      <c r="C40" s="33">
        <v>1</v>
      </c>
      <c r="M40" s="35"/>
      <c r="S40" s="36"/>
    </row>
    <row r="41" spans="2:19" x14ac:dyDescent="0.25">
      <c r="B41" s="7" t="s">
        <v>148</v>
      </c>
      <c r="C41" s="33">
        <v>1</v>
      </c>
      <c r="M41" s="35"/>
      <c r="S41" s="36"/>
    </row>
    <row r="42" spans="2:19" x14ac:dyDescent="0.25">
      <c r="B42" s="7" t="s">
        <v>498</v>
      </c>
      <c r="C42" s="33">
        <v>1</v>
      </c>
      <c r="M42" s="35"/>
      <c r="S42" s="36"/>
    </row>
    <row r="43" spans="2:19" x14ac:dyDescent="0.25">
      <c r="B43" s="7" t="s">
        <v>56</v>
      </c>
      <c r="C43" s="33">
        <v>1</v>
      </c>
      <c r="M43" s="35"/>
      <c r="S43" s="36"/>
    </row>
    <row r="44" spans="2:19" x14ac:dyDescent="0.25">
      <c r="B44" s="7" t="s">
        <v>8</v>
      </c>
      <c r="C44" s="33">
        <v>1</v>
      </c>
      <c r="M44" s="35"/>
      <c r="S44" s="36"/>
    </row>
    <row r="45" spans="2:19" x14ac:dyDescent="0.25">
      <c r="B45" s="7" t="s">
        <v>135</v>
      </c>
      <c r="C45" s="33">
        <v>19</v>
      </c>
      <c r="M45" s="35"/>
      <c r="S45" s="36"/>
    </row>
    <row r="46" spans="2:19" x14ac:dyDescent="0.25">
      <c r="B46" s="7" t="s">
        <v>122</v>
      </c>
      <c r="C46" s="33">
        <v>1</v>
      </c>
      <c r="M46" s="35"/>
      <c r="S46" s="36"/>
    </row>
    <row r="47" spans="2:19" x14ac:dyDescent="0.25">
      <c r="B47" s="7" t="s">
        <v>133</v>
      </c>
      <c r="C47" s="33">
        <v>1</v>
      </c>
      <c r="M47" s="35"/>
      <c r="S47" s="36"/>
    </row>
    <row r="48" spans="2:19" x14ac:dyDescent="0.25">
      <c r="B48" s="7" t="s">
        <v>189</v>
      </c>
      <c r="C48" s="33">
        <v>38</v>
      </c>
      <c r="M48" s="35"/>
      <c r="S48" s="36"/>
    </row>
    <row r="49" spans="2:19" x14ac:dyDescent="0.25">
      <c r="B49" s="7" t="s">
        <v>137</v>
      </c>
      <c r="C49" s="33">
        <v>1</v>
      </c>
      <c r="M49" s="35"/>
      <c r="S49" s="36"/>
    </row>
    <row r="50" spans="2:19" x14ac:dyDescent="0.25">
      <c r="B50" s="7" t="s">
        <v>9</v>
      </c>
      <c r="C50" s="33">
        <v>1</v>
      </c>
      <c r="M50" s="35"/>
      <c r="S50" s="36"/>
    </row>
    <row r="51" spans="2:19" x14ac:dyDescent="0.25">
      <c r="B51" s="7" t="s">
        <v>331</v>
      </c>
      <c r="C51" s="33">
        <v>1</v>
      </c>
      <c r="M51" s="35"/>
      <c r="S51" s="36"/>
    </row>
    <row r="52" spans="2:19" x14ac:dyDescent="0.25">
      <c r="B52" s="7" t="s">
        <v>288</v>
      </c>
      <c r="C52" s="33">
        <v>1</v>
      </c>
      <c r="M52" s="35"/>
      <c r="S52" s="36"/>
    </row>
    <row r="53" spans="2:19" x14ac:dyDescent="0.25">
      <c r="B53" s="7" t="s">
        <v>512</v>
      </c>
      <c r="C53" s="33">
        <v>1</v>
      </c>
      <c r="M53" s="35"/>
      <c r="S53" s="36"/>
    </row>
    <row r="54" spans="2:19" x14ac:dyDescent="0.25">
      <c r="B54" s="7" t="s">
        <v>521</v>
      </c>
      <c r="C54" s="33">
        <v>1</v>
      </c>
      <c r="M54" s="35"/>
      <c r="S54" s="36"/>
    </row>
    <row r="55" spans="2:19" x14ac:dyDescent="0.25">
      <c r="B55" s="7" t="s">
        <v>172</v>
      </c>
      <c r="C55" s="33">
        <v>2</v>
      </c>
      <c r="M55" s="35"/>
      <c r="S55" s="36"/>
    </row>
    <row r="56" spans="2:19" x14ac:dyDescent="0.25">
      <c r="B56" s="7" t="s">
        <v>170</v>
      </c>
      <c r="C56" s="33">
        <v>2</v>
      </c>
      <c r="M56" s="35"/>
      <c r="S56" s="36"/>
    </row>
    <row r="57" spans="2:19" x14ac:dyDescent="0.25">
      <c r="B57" s="7" t="s">
        <v>502</v>
      </c>
      <c r="C57" s="33">
        <v>1</v>
      </c>
    </row>
    <row r="58" spans="2:19" x14ac:dyDescent="0.25">
      <c r="B58" s="7" t="s">
        <v>231</v>
      </c>
      <c r="C58" s="33">
        <v>616</v>
      </c>
    </row>
    <row r="59" spans="2:19" x14ac:dyDescent="0.25">
      <c r="B59" s="7" t="s">
        <v>316</v>
      </c>
      <c r="C59" s="33">
        <v>1</v>
      </c>
    </row>
    <row r="60" spans="2:19" x14ac:dyDescent="0.25">
      <c r="B60" s="7" t="s">
        <v>169</v>
      </c>
      <c r="C60" s="33">
        <v>1</v>
      </c>
    </row>
    <row r="61" spans="2:19" x14ac:dyDescent="0.25">
      <c r="B61" s="7" t="s">
        <v>195</v>
      </c>
      <c r="C61" s="33">
        <v>30</v>
      </c>
    </row>
    <row r="62" spans="2:19" x14ac:dyDescent="0.25">
      <c r="B62" s="7" t="s">
        <v>287</v>
      </c>
      <c r="C62" s="33">
        <v>3</v>
      </c>
    </row>
    <row r="63" spans="2:19" x14ac:dyDescent="0.25">
      <c r="B63" s="7" t="s">
        <v>80</v>
      </c>
      <c r="C63" s="33">
        <v>27</v>
      </c>
    </row>
    <row r="64" spans="2:19" x14ac:dyDescent="0.25">
      <c r="B64" s="7" t="s">
        <v>503</v>
      </c>
      <c r="C64" s="33">
        <v>1</v>
      </c>
    </row>
    <row r="65" spans="2:3" x14ac:dyDescent="0.25">
      <c r="B65" s="7" t="s">
        <v>163</v>
      </c>
      <c r="C65" s="33">
        <v>303</v>
      </c>
    </row>
    <row r="66" spans="2:3" x14ac:dyDescent="0.25">
      <c r="B66" s="7" t="s">
        <v>194</v>
      </c>
      <c r="C66" s="33">
        <v>210</v>
      </c>
    </row>
    <row r="67" spans="2:3" x14ac:dyDescent="0.25">
      <c r="B67" s="7" t="s">
        <v>146</v>
      </c>
      <c r="C67" s="33">
        <v>1</v>
      </c>
    </row>
    <row r="68" spans="2:3" x14ac:dyDescent="0.25">
      <c r="B68" s="7" t="s">
        <v>149</v>
      </c>
      <c r="C68" s="33">
        <v>28</v>
      </c>
    </row>
    <row r="69" spans="2:3" x14ac:dyDescent="0.25">
      <c r="B69" s="7" t="s">
        <v>337</v>
      </c>
      <c r="C69" s="33">
        <v>8</v>
      </c>
    </row>
    <row r="70" spans="2:3" x14ac:dyDescent="0.25">
      <c r="B70" s="7" t="s">
        <v>208</v>
      </c>
      <c r="C70" s="33">
        <v>16</v>
      </c>
    </row>
    <row r="71" spans="2:3" x14ac:dyDescent="0.25">
      <c r="B71" s="7" t="s">
        <v>221</v>
      </c>
      <c r="C71" s="33">
        <v>1</v>
      </c>
    </row>
    <row r="72" spans="2:3" x14ac:dyDescent="0.25">
      <c r="B72" s="7" t="s">
        <v>325</v>
      </c>
      <c r="C72" s="33">
        <v>15</v>
      </c>
    </row>
    <row r="73" spans="2:3" x14ac:dyDescent="0.25">
      <c r="B73" s="7" t="s">
        <v>64</v>
      </c>
      <c r="C73" s="33">
        <v>1</v>
      </c>
    </row>
    <row r="74" spans="2:3" x14ac:dyDescent="0.25">
      <c r="B74" s="7" t="s">
        <v>104</v>
      </c>
      <c r="C74" s="33">
        <v>1</v>
      </c>
    </row>
    <row r="75" spans="2:3" x14ac:dyDescent="0.25">
      <c r="B75" s="7" t="s">
        <v>302</v>
      </c>
      <c r="C75" s="33">
        <v>8</v>
      </c>
    </row>
    <row r="76" spans="2:3" x14ac:dyDescent="0.25">
      <c r="B76" s="7" t="s">
        <v>39</v>
      </c>
      <c r="C76" s="33">
        <v>70</v>
      </c>
    </row>
    <row r="77" spans="2:3" x14ac:dyDescent="0.25">
      <c r="B77" s="7" t="s">
        <v>210</v>
      </c>
      <c r="C77" s="33">
        <v>1</v>
      </c>
    </row>
    <row r="78" spans="2:3" x14ac:dyDescent="0.25">
      <c r="B78" s="7" t="s">
        <v>504</v>
      </c>
      <c r="C78" s="33">
        <v>1</v>
      </c>
    </row>
    <row r="79" spans="2:3" x14ac:dyDescent="0.25">
      <c r="B79" s="7" t="s">
        <v>346</v>
      </c>
      <c r="C79" s="33">
        <v>1</v>
      </c>
    </row>
    <row r="80" spans="2:3" x14ac:dyDescent="0.25">
      <c r="B80" s="7" t="s">
        <v>488</v>
      </c>
      <c r="C80" s="33">
        <v>1</v>
      </c>
    </row>
    <row r="81" spans="2:3" x14ac:dyDescent="0.25">
      <c r="B81" s="7" t="s">
        <v>291</v>
      </c>
      <c r="C81" s="33">
        <v>8</v>
      </c>
    </row>
    <row r="82" spans="2:3" x14ac:dyDescent="0.25">
      <c r="B82" s="7" t="s">
        <v>295</v>
      </c>
      <c r="C82" s="33">
        <v>5</v>
      </c>
    </row>
    <row r="83" spans="2:3" x14ac:dyDescent="0.25">
      <c r="B83" s="7" t="s">
        <v>241</v>
      </c>
      <c r="C83" s="33">
        <v>1</v>
      </c>
    </row>
    <row r="84" spans="2:3" x14ac:dyDescent="0.25">
      <c r="B84" s="7" t="s">
        <v>84</v>
      </c>
      <c r="C84" s="33">
        <v>5</v>
      </c>
    </row>
    <row r="85" spans="2:3" x14ac:dyDescent="0.25">
      <c r="B85" s="7" t="s">
        <v>415</v>
      </c>
      <c r="C85" s="33">
        <v>8</v>
      </c>
    </row>
    <row r="86" spans="2:3" x14ac:dyDescent="0.25">
      <c r="B86" s="13" t="s">
        <v>98</v>
      </c>
      <c r="C86" s="33">
        <v>1</v>
      </c>
    </row>
    <row r="87" spans="2:3" x14ac:dyDescent="0.25">
      <c r="B87" s="13" t="s">
        <v>297</v>
      </c>
      <c r="C87" s="33">
        <v>4</v>
      </c>
    </row>
    <row r="88" spans="2:3" x14ac:dyDescent="0.25">
      <c r="B88" s="13" t="s">
        <v>90</v>
      </c>
      <c r="C88" s="33">
        <v>9</v>
      </c>
    </row>
    <row r="89" spans="2:3" x14ac:dyDescent="0.25">
      <c r="B89" s="13" t="s">
        <v>83</v>
      </c>
      <c r="C89" s="33">
        <v>10</v>
      </c>
    </row>
    <row r="90" spans="2:3" x14ac:dyDescent="0.25">
      <c r="B90" s="12" t="s">
        <v>94</v>
      </c>
      <c r="C90" s="33">
        <v>44</v>
      </c>
    </row>
    <row r="91" spans="2:3" x14ac:dyDescent="0.25">
      <c r="B91" s="13" t="s">
        <v>336</v>
      </c>
      <c r="C91" s="33">
        <v>1</v>
      </c>
    </row>
    <row r="92" spans="2:3" x14ac:dyDescent="0.25">
      <c r="B92" s="13" t="s">
        <v>182</v>
      </c>
      <c r="C92" s="33">
        <v>13</v>
      </c>
    </row>
    <row r="93" spans="2:3" x14ac:dyDescent="0.25">
      <c r="B93" s="13" t="s">
        <v>92</v>
      </c>
      <c r="C93" s="33">
        <v>46</v>
      </c>
    </row>
    <row r="94" spans="2:3" x14ac:dyDescent="0.25">
      <c r="B94" s="13" t="s">
        <v>132</v>
      </c>
      <c r="C94" s="33">
        <v>1</v>
      </c>
    </row>
    <row r="95" spans="2:3" x14ac:dyDescent="0.25">
      <c r="B95" s="13" t="s">
        <v>162</v>
      </c>
      <c r="C95" s="33">
        <v>84</v>
      </c>
    </row>
    <row r="96" spans="2:3" x14ac:dyDescent="0.25">
      <c r="B96" s="12" t="s">
        <v>192</v>
      </c>
      <c r="C96" s="33">
        <v>1</v>
      </c>
    </row>
    <row r="97" spans="2:3" x14ac:dyDescent="0.25">
      <c r="B97" s="12" t="s">
        <v>12</v>
      </c>
      <c r="C97" s="33">
        <v>1</v>
      </c>
    </row>
    <row r="98" spans="2:3" x14ac:dyDescent="0.25">
      <c r="B98" s="13" t="s">
        <v>484</v>
      </c>
      <c r="C98" s="33">
        <v>1</v>
      </c>
    </row>
    <row r="99" spans="2:3" x14ac:dyDescent="0.25">
      <c r="B99" s="13" t="s">
        <v>164</v>
      </c>
      <c r="C99" s="33">
        <v>1</v>
      </c>
    </row>
    <row r="100" spans="2:3" x14ac:dyDescent="0.25">
      <c r="B100" s="13" t="s">
        <v>532</v>
      </c>
      <c r="C100" s="33">
        <v>1</v>
      </c>
    </row>
    <row r="101" spans="2:3" x14ac:dyDescent="0.25">
      <c r="B101" s="13" t="s">
        <v>475</v>
      </c>
      <c r="C101" s="33">
        <v>2</v>
      </c>
    </row>
    <row r="102" spans="2:3" x14ac:dyDescent="0.25">
      <c r="B102" s="13" t="s">
        <v>177</v>
      </c>
      <c r="C102" s="33">
        <v>1</v>
      </c>
    </row>
    <row r="103" spans="2:3" x14ac:dyDescent="0.25">
      <c r="B103" s="13" t="s">
        <v>229</v>
      </c>
      <c r="C103" s="33">
        <v>1</v>
      </c>
    </row>
    <row r="104" spans="2:3" x14ac:dyDescent="0.25">
      <c r="B104" s="13" t="s">
        <v>500</v>
      </c>
      <c r="C104" s="33">
        <v>1</v>
      </c>
    </row>
    <row r="105" spans="2:3" x14ac:dyDescent="0.25">
      <c r="B105" s="13" t="s">
        <v>97</v>
      </c>
      <c r="C105" s="33">
        <v>18</v>
      </c>
    </row>
    <row r="106" spans="2:3" x14ac:dyDescent="0.25">
      <c r="B106" s="12" t="s">
        <v>298</v>
      </c>
      <c r="C106" s="33">
        <v>1</v>
      </c>
    </row>
    <row r="107" spans="2:3" x14ac:dyDescent="0.25">
      <c r="B107" s="13" t="s">
        <v>481</v>
      </c>
      <c r="C107" s="33">
        <v>2</v>
      </c>
    </row>
    <row r="108" spans="2:3" x14ac:dyDescent="0.25">
      <c r="B108" s="12" t="s">
        <v>249</v>
      </c>
      <c r="C108" s="33">
        <v>2</v>
      </c>
    </row>
    <row r="109" spans="2:3" x14ac:dyDescent="0.25">
      <c r="B109" s="13" t="s">
        <v>476</v>
      </c>
      <c r="C109" s="33">
        <v>1</v>
      </c>
    </row>
    <row r="110" spans="2:3" x14ac:dyDescent="0.25">
      <c r="B110" s="13" t="s">
        <v>179</v>
      </c>
      <c r="C110" s="33">
        <v>1</v>
      </c>
    </row>
    <row r="111" spans="2:3" x14ac:dyDescent="0.25">
      <c r="B111" s="13" t="s">
        <v>452</v>
      </c>
      <c r="C111" s="33">
        <v>1</v>
      </c>
    </row>
    <row r="112" spans="2:3" x14ac:dyDescent="0.25">
      <c r="B112" s="13" t="s">
        <v>271</v>
      </c>
      <c r="C112" s="33">
        <v>5</v>
      </c>
    </row>
    <row r="113" spans="2:3" x14ac:dyDescent="0.25">
      <c r="B113" s="13" t="s">
        <v>506</v>
      </c>
      <c r="C113" s="33">
        <v>1</v>
      </c>
    </row>
    <row r="114" spans="2:3" x14ac:dyDescent="0.25">
      <c r="B114" s="13" t="s">
        <v>218</v>
      </c>
      <c r="C114" s="33">
        <v>2</v>
      </c>
    </row>
    <row r="115" spans="2:3" x14ac:dyDescent="0.25">
      <c r="B115" s="12" t="s">
        <v>524</v>
      </c>
      <c r="C115" s="33">
        <v>1</v>
      </c>
    </row>
    <row r="116" spans="2:3" x14ac:dyDescent="0.25">
      <c r="B116" s="12" t="s">
        <v>131</v>
      </c>
      <c r="C116" s="33">
        <v>1</v>
      </c>
    </row>
    <row r="117" spans="2:3" x14ac:dyDescent="0.25">
      <c r="B117" s="12" t="s">
        <v>67</v>
      </c>
      <c r="C117" s="33">
        <v>1</v>
      </c>
    </row>
    <row r="118" spans="2:3" x14ac:dyDescent="0.25">
      <c r="B118" s="12" t="s">
        <v>114</v>
      </c>
      <c r="C118" s="33">
        <v>1</v>
      </c>
    </row>
    <row r="119" spans="2:3" x14ac:dyDescent="0.25">
      <c r="B119" s="12" t="s">
        <v>493</v>
      </c>
      <c r="C119" s="33">
        <v>1</v>
      </c>
    </row>
    <row r="120" spans="2:3" x14ac:dyDescent="0.25">
      <c r="B120" s="12" t="s">
        <v>112</v>
      </c>
      <c r="C120" s="33">
        <v>1</v>
      </c>
    </row>
    <row r="121" spans="2:3" x14ac:dyDescent="0.25">
      <c r="B121" s="12" t="s">
        <v>244</v>
      </c>
      <c r="C121" s="33">
        <v>14</v>
      </c>
    </row>
    <row r="122" spans="2:3" x14ac:dyDescent="0.25">
      <c r="B122" s="13" t="s">
        <v>400</v>
      </c>
      <c r="C122" s="33">
        <v>3</v>
      </c>
    </row>
    <row r="123" spans="2:3" x14ac:dyDescent="0.25">
      <c r="B123" s="13" t="s">
        <v>496</v>
      </c>
      <c r="C123" s="33">
        <v>3</v>
      </c>
    </row>
    <row r="124" spans="2:3" x14ac:dyDescent="0.25">
      <c r="B124" s="13" t="s">
        <v>85</v>
      </c>
      <c r="C124" s="33">
        <v>169</v>
      </c>
    </row>
    <row r="125" spans="2:3" x14ac:dyDescent="0.25">
      <c r="B125" s="12" t="s">
        <v>40</v>
      </c>
      <c r="C125" s="33">
        <v>59</v>
      </c>
    </row>
    <row r="126" spans="2:3" x14ac:dyDescent="0.25">
      <c r="B126" s="13" t="s">
        <v>15</v>
      </c>
      <c r="C126" s="33">
        <v>20</v>
      </c>
    </row>
    <row r="127" spans="2:3" x14ac:dyDescent="0.25">
      <c r="B127" s="13" t="s">
        <v>303</v>
      </c>
      <c r="C127" s="33">
        <v>1</v>
      </c>
    </row>
    <row r="128" spans="2:3" x14ac:dyDescent="0.25">
      <c r="B128" s="13" t="s">
        <v>237</v>
      </c>
      <c r="C128" s="33">
        <v>2</v>
      </c>
    </row>
    <row r="129" spans="2:3" x14ac:dyDescent="0.25">
      <c r="B129" s="12" t="s">
        <v>255</v>
      </c>
      <c r="C129" s="33">
        <v>20</v>
      </c>
    </row>
    <row r="130" spans="2:3" x14ac:dyDescent="0.25">
      <c r="B130" s="13" t="s">
        <v>259</v>
      </c>
      <c r="C130" s="33">
        <v>6</v>
      </c>
    </row>
    <row r="131" spans="2:3" x14ac:dyDescent="0.25">
      <c r="B131" s="13" t="s">
        <v>312</v>
      </c>
      <c r="C131" s="33">
        <v>5</v>
      </c>
    </row>
    <row r="132" spans="2:3" x14ac:dyDescent="0.25">
      <c r="B132" s="13" t="s">
        <v>238</v>
      </c>
      <c r="C132" s="33">
        <v>5</v>
      </c>
    </row>
    <row r="133" spans="2:3" x14ac:dyDescent="0.25">
      <c r="B133" s="13" t="s">
        <v>96</v>
      </c>
      <c r="C133" s="33">
        <v>5</v>
      </c>
    </row>
    <row r="134" spans="2:3" x14ac:dyDescent="0.25">
      <c r="B134" s="13" t="s">
        <v>66</v>
      </c>
      <c r="C134" s="33">
        <v>8</v>
      </c>
    </row>
    <row r="135" spans="2:3" x14ac:dyDescent="0.25">
      <c r="B135" s="13" t="s">
        <v>311</v>
      </c>
      <c r="C135" s="33">
        <v>1</v>
      </c>
    </row>
    <row r="136" spans="2:3" x14ac:dyDescent="0.25">
      <c r="B136" s="13" t="s">
        <v>308</v>
      </c>
      <c r="C136" s="33">
        <v>1</v>
      </c>
    </row>
    <row r="137" spans="2:3" x14ac:dyDescent="0.25">
      <c r="B137" s="13" t="s">
        <v>309</v>
      </c>
      <c r="C137" s="33">
        <v>1</v>
      </c>
    </row>
    <row r="138" spans="2:3" x14ac:dyDescent="0.25">
      <c r="B138" s="13" t="s">
        <v>328</v>
      </c>
      <c r="C138" s="33">
        <v>54</v>
      </c>
    </row>
    <row r="139" spans="2:3" x14ac:dyDescent="0.25">
      <c r="B139" s="13" t="s">
        <v>274</v>
      </c>
      <c r="C139" s="33">
        <v>15</v>
      </c>
    </row>
    <row r="140" spans="2:3" x14ac:dyDescent="0.25">
      <c r="B140" s="13" t="s">
        <v>100</v>
      </c>
      <c r="C140" s="33">
        <v>1</v>
      </c>
    </row>
    <row r="141" spans="2:3" x14ac:dyDescent="0.25">
      <c r="B141" s="13" t="s">
        <v>483</v>
      </c>
      <c r="C141" s="33">
        <v>3</v>
      </c>
    </row>
    <row r="142" spans="2:3" x14ac:dyDescent="0.25">
      <c r="B142" s="13" t="s">
        <v>456</v>
      </c>
      <c r="C142" s="33">
        <v>7</v>
      </c>
    </row>
    <row r="143" spans="2:3" x14ac:dyDescent="0.25">
      <c r="B143" s="13" t="s">
        <v>507</v>
      </c>
      <c r="C143" s="33">
        <v>1</v>
      </c>
    </row>
    <row r="144" spans="2:3" x14ac:dyDescent="0.25">
      <c r="B144" s="13" t="s">
        <v>495</v>
      </c>
      <c r="C144" s="33">
        <v>1</v>
      </c>
    </row>
    <row r="145" spans="2:3" x14ac:dyDescent="0.25">
      <c r="B145" s="13" t="s">
        <v>161</v>
      </c>
      <c r="C145" s="33">
        <v>1</v>
      </c>
    </row>
    <row r="146" spans="2:3" x14ac:dyDescent="0.25">
      <c r="B146" s="13" t="s">
        <v>478</v>
      </c>
      <c r="C146" s="33">
        <v>3</v>
      </c>
    </row>
    <row r="147" spans="2:3" x14ac:dyDescent="0.25">
      <c r="B147" s="13" t="s">
        <v>134</v>
      </c>
      <c r="C147" s="33">
        <v>1</v>
      </c>
    </row>
    <row r="148" spans="2:3" x14ac:dyDescent="0.25">
      <c r="B148" s="12" t="s">
        <v>0</v>
      </c>
      <c r="C148" s="33">
        <v>1</v>
      </c>
    </row>
    <row r="149" spans="2:3" x14ac:dyDescent="0.25">
      <c r="B149" s="12" t="s">
        <v>77</v>
      </c>
      <c r="C149" s="33">
        <v>41</v>
      </c>
    </row>
    <row r="150" spans="2:3" x14ac:dyDescent="0.25">
      <c r="B150" s="13" t="s">
        <v>95</v>
      </c>
      <c r="C150" s="33">
        <v>2</v>
      </c>
    </row>
    <row r="151" spans="2:3" x14ac:dyDescent="0.25">
      <c r="B151" s="12" t="s">
        <v>280</v>
      </c>
      <c r="C151" s="33">
        <v>1</v>
      </c>
    </row>
    <row r="152" spans="2:3" x14ac:dyDescent="0.25">
      <c r="B152" s="13" t="s">
        <v>465</v>
      </c>
      <c r="C152" s="33">
        <v>8</v>
      </c>
    </row>
    <row r="153" spans="2:3" x14ac:dyDescent="0.25">
      <c r="B153" s="13" t="s">
        <v>330</v>
      </c>
      <c r="C153" s="33">
        <v>22</v>
      </c>
    </row>
    <row r="154" spans="2:3" x14ac:dyDescent="0.25">
      <c r="B154" s="12" t="s">
        <v>116</v>
      </c>
      <c r="C154" s="33">
        <v>1</v>
      </c>
    </row>
    <row r="155" spans="2:3" x14ac:dyDescent="0.25">
      <c r="B155" s="13" t="s">
        <v>324</v>
      </c>
      <c r="C155" s="33">
        <v>1</v>
      </c>
    </row>
    <row r="156" spans="2:3" x14ac:dyDescent="0.25">
      <c r="B156" s="13" t="s">
        <v>486</v>
      </c>
      <c r="C156" s="33">
        <v>1</v>
      </c>
    </row>
    <row r="157" spans="2:3" x14ac:dyDescent="0.25">
      <c r="B157" s="13" t="s">
        <v>253</v>
      </c>
      <c r="C157" s="33">
        <v>7</v>
      </c>
    </row>
    <row r="158" spans="2:3" x14ac:dyDescent="0.25">
      <c r="B158" s="13" t="s">
        <v>300</v>
      </c>
      <c r="C158" s="33">
        <v>1</v>
      </c>
    </row>
    <row r="159" spans="2:3" x14ac:dyDescent="0.25">
      <c r="B159" s="12" t="s">
        <v>216</v>
      </c>
      <c r="C159" s="33">
        <v>1</v>
      </c>
    </row>
    <row r="160" spans="2:3" x14ac:dyDescent="0.25">
      <c r="B160" s="13" t="s">
        <v>338</v>
      </c>
      <c r="C160" s="33">
        <v>2</v>
      </c>
    </row>
    <row r="161" spans="2:3" x14ac:dyDescent="0.25">
      <c r="B161" s="13" t="s">
        <v>384</v>
      </c>
      <c r="C161" s="33">
        <v>4</v>
      </c>
    </row>
    <row r="162" spans="2:3" x14ac:dyDescent="0.25">
      <c r="B162" s="12" t="s">
        <v>86</v>
      </c>
      <c r="C162" s="33">
        <v>59</v>
      </c>
    </row>
    <row r="163" spans="2:3" x14ac:dyDescent="0.25">
      <c r="B163" s="12" t="s">
        <v>458</v>
      </c>
      <c r="C163" s="33">
        <v>1</v>
      </c>
    </row>
    <row r="164" spans="2:3" x14ac:dyDescent="0.25">
      <c r="B164" s="13" t="s">
        <v>511</v>
      </c>
      <c r="C164" s="33">
        <v>1</v>
      </c>
    </row>
    <row r="165" spans="2:3" x14ac:dyDescent="0.25">
      <c r="B165" s="13" t="s">
        <v>528</v>
      </c>
      <c r="C165" s="33">
        <v>1</v>
      </c>
    </row>
    <row r="166" spans="2:3" x14ac:dyDescent="0.25">
      <c r="B166" s="13" t="s">
        <v>197</v>
      </c>
      <c r="C166" s="33">
        <v>54</v>
      </c>
    </row>
    <row r="167" spans="2:3" x14ac:dyDescent="0.25">
      <c r="B167" s="12" t="s">
        <v>69</v>
      </c>
      <c r="C167" s="33">
        <v>1</v>
      </c>
    </row>
    <row r="168" spans="2:3" x14ac:dyDescent="0.25">
      <c r="B168" s="13" t="s">
        <v>516</v>
      </c>
      <c r="C168" s="33">
        <v>2</v>
      </c>
    </row>
    <row r="169" spans="2:3" x14ac:dyDescent="0.25">
      <c r="B169" s="13" t="s">
        <v>101</v>
      </c>
      <c r="C169" s="33">
        <v>16</v>
      </c>
    </row>
    <row r="170" spans="2:3" x14ac:dyDescent="0.25">
      <c r="B170" s="13" t="s">
        <v>242</v>
      </c>
      <c r="C170" s="33">
        <v>8</v>
      </c>
    </row>
    <row r="171" spans="2:3" x14ac:dyDescent="0.25">
      <c r="B171" s="12" t="s">
        <v>529</v>
      </c>
      <c r="C171" s="33">
        <v>1</v>
      </c>
    </row>
    <row r="172" spans="2:3" x14ac:dyDescent="0.25">
      <c r="B172" s="13" t="s">
        <v>520</v>
      </c>
      <c r="C172" s="33">
        <v>1</v>
      </c>
    </row>
    <row r="173" spans="2:3" x14ac:dyDescent="0.25">
      <c r="B173" s="13" t="s">
        <v>381</v>
      </c>
      <c r="C173" s="33">
        <v>10</v>
      </c>
    </row>
    <row r="174" spans="2:3" x14ac:dyDescent="0.25">
      <c r="B174" s="13" t="s">
        <v>108</v>
      </c>
      <c r="C174" s="33">
        <v>18</v>
      </c>
    </row>
    <row r="175" spans="2:3" x14ac:dyDescent="0.25">
      <c r="B175" s="13" t="s">
        <v>111</v>
      </c>
      <c r="C175" s="33">
        <v>17</v>
      </c>
    </row>
    <row r="176" spans="2:3" x14ac:dyDescent="0.25">
      <c r="B176" s="13" t="s">
        <v>153</v>
      </c>
      <c r="C176" s="33">
        <v>20</v>
      </c>
    </row>
    <row r="177" spans="2:3" x14ac:dyDescent="0.25">
      <c r="B177" s="13" t="s">
        <v>205</v>
      </c>
      <c r="C177" s="33">
        <v>42</v>
      </c>
    </row>
    <row r="178" spans="2:3" x14ac:dyDescent="0.25">
      <c r="B178" s="13" t="s">
        <v>211</v>
      </c>
      <c r="C178" s="33">
        <v>61</v>
      </c>
    </row>
    <row r="179" spans="2:3" x14ac:dyDescent="0.25">
      <c r="B179" s="12" t="s">
        <v>262</v>
      </c>
      <c r="C179" s="33">
        <v>1</v>
      </c>
    </row>
    <row r="180" spans="2:3" x14ac:dyDescent="0.25">
      <c r="B180" s="12" t="s">
        <v>70</v>
      </c>
      <c r="C180" s="33">
        <v>8</v>
      </c>
    </row>
    <row r="181" spans="2:3" x14ac:dyDescent="0.25">
      <c r="B181" s="12" t="s">
        <v>217</v>
      </c>
      <c r="C181" s="33">
        <v>1</v>
      </c>
    </row>
    <row r="182" spans="2:3" x14ac:dyDescent="0.25">
      <c r="B182" s="12" t="s">
        <v>46</v>
      </c>
      <c r="C182" s="33">
        <v>4</v>
      </c>
    </row>
    <row r="183" spans="2:3" x14ac:dyDescent="0.25">
      <c r="B183" s="12" t="s">
        <v>525</v>
      </c>
      <c r="C183" s="33">
        <v>1</v>
      </c>
    </row>
    <row r="184" spans="2:3" x14ac:dyDescent="0.25">
      <c r="B184" s="13" t="s">
        <v>466</v>
      </c>
      <c r="C184" s="33">
        <v>2</v>
      </c>
    </row>
    <row r="185" spans="2:3" x14ac:dyDescent="0.25">
      <c r="B185" s="13" t="s">
        <v>79</v>
      </c>
      <c r="C185" s="33">
        <v>1</v>
      </c>
    </row>
    <row r="186" spans="2:3" x14ac:dyDescent="0.25">
      <c r="B186" s="12" t="s">
        <v>329</v>
      </c>
      <c r="C186" s="33">
        <v>1</v>
      </c>
    </row>
    <row r="187" spans="2:3" x14ac:dyDescent="0.25">
      <c r="B187" s="12" t="s">
        <v>256</v>
      </c>
      <c r="C187" s="33">
        <v>2</v>
      </c>
    </row>
    <row r="188" spans="2:3" x14ac:dyDescent="0.25">
      <c r="B188" s="13" t="s">
        <v>233</v>
      </c>
      <c r="C188" s="33">
        <v>1</v>
      </c>
    </row>
    <row r="189" spans="2:3" x14ac:dyDescent="0.25">
      <c r="B189" s="13" t="s">
        <v>304</v>
      </c>
      <c r="C189" s="33">
        <v>1</v>
      </c>
    </row>
    <row r="190" spans="2:3" x14ac:dyDescent="0.25">
      <c r="B190" s="12" t="s">
        <v>89</v>
      </c>
      <c r="C190" s="33">
        <v>51</v>
      </c>
    </row>
    <row r="191" spans="2:3" x14ac:dyDescent="0.25">
      <c r="B191" s="12" t="s">
        <v>138</v>
      </c>
      <c r="C191" s="33">
        <v>1</v>
      </c>
    </row>
    <row r="192" spans="2:3" x14ac:dyDescent="0.25">
      <c r="B192" s="13" t="s">
        <v>225</v>
      </c>
      <c r="C192" s="33">
        <v>5</v>
      </c>
    </row>
    <row r="193" spans="2:3" x14ac:dyDescent="0.25">
      <c r="B193" s="13" t="s">
        <v>470</v>
      </c>
      <c r="C193" s="33">
        <v>6</v>
      </c>
    </row>
    <row r="194" spans="2:3" x14ac:dyDescent="0.25">
      <c r="B194" s="13" t="s">
        <v>340</v>
      </c>
      <c r="C194" s="33">
        <v>5</v>
      </c>
    </row>
    <row r="195" spans="2:3" x14ac:dyDescent="0.25">
      <c r="B195" s="13" t="s">
        <v>294</v>
      </c>
      <c r="C195" s="33">
        <v>1</v>
      </c>
    </row>
    <row r="196" spans="2:3" x14ac:dyDescent="0.25">
      <c r="B196" s="13" t="s">
        <v>206</v>
      </c>
      <c r="C196" s="33">
        <v>45</v>
      </c>
    </row>
    <row r="197" spans="2:3" x14ac:dyDescent="0.25">
      <c r="B197" s="12" t="s">
        <v>485</v>
      </c>
      <c r="C197" s="33">
        <v>1</v>
      </c>
    </row>
    <row r="198" spans="2:3" x14ac:dyDescent="0.25">
      <c r="B198" s="12" t="s">
        <v>522</v>
      </c>
      <c r="C198" s="33">
        <v>1</v>
      </c>
    </row>
    <row r="199" spans="2:3" x14ac:dyDescent="0.25">
      <c r="B199" s="12" t="s">
        <v>499</v>
      </c>
      <c r="C199" s="33">
        <v>10</v>
      </c>
    </row>
    <row r="200" spans="2:3" x14ac:dyDescent="0.25">
      <c r="B200" s="12" t="s">
        <v>88</v>
      </c>
      <c r="C200" s="33">
        <v>61</v>
      </c>
    </row>
    <row r="201" spans="2:3" x14ac:dyDescent="0.25">
      <c r="B201" s="12" t="s">
        <v>497</v>
      </c>
      <c r="C201" s="33">
        <v>10</v>
      </c>
    </row>
    <row r="202" spans="2:3" x14ac:dyDescent="0.25">
      <c r="B202" s="12" t="s">
        <v>81</v>
      </c>
      <c r="C202" s="33">
        <v>20</v>
      </c>
    </row>
    <row r="203" spans="2:3" x14ac:dyDescent="0.25">
      <c r="B203" s="12" t="s">
        <v>443</v>
      </c>
      <c r="C203" s="33">
        <v>10</v>
      </c>
    </row>
    <row r="204" spans="2:3" x14ac:dyDescent="0.25">
      <c r="B204" s="13" t="s">
        <v>341</v>
      </c>
      <c r="C204" s="33">
        <v>4</v>
      </c>
    </row>
    <row r="205" spans="2:3" x14ac:dyDescent="0.25">
      <c r="B205" s="12" t="s">
        <v>117</v>
      </c>
      <c r="C205" s="33">
        <v>1</v>
      </c>
    </row>
    <row r="206" spans="2:3" x14ac:dyDescent="0.25">
      <c r="B206" s="13" t="s">
        <v>344</v>
      </c>
      <c r="C206" s="33">
        <v>5</v>
      </c>
    </row>
    <row r="207" spans="2:3" x14ac:dyDescent="0.25">
      <c r="B207" s="13" t="s">
        <v>505</v>
      </c>
      <c r="C207" s="33">
        <v>1</v>
      </c>
    </row>
    <row r="208" spans="2:3" x14ac:dyDescent="0.25">
      <c r="B208" s="12" t="s">
        <v>6</v>
      </c>
      <c r="C208" s="33">
        <v>2</v>
      </c>
    </row>
    <row r="209" spans="2:3" x14ac:dyDescent="0.25">
      <c r="B209" s="13" t="s">
        <v>105</v>
      </c>
      <c r="C209" s="33">
        <v>1</v>
      </c>
    </row>
    <row r="210" spans="2:3" x14ac:dyDescent="0.25">
      <c r="B210" s="12" t="s">
        <v>126</v>
      </c>
      <c r="C210" s="33">
        <v>1</v>
      </c>
    </row>
    <row r="211" spans="2:3" x14ac:dyDescent="0.25">
      <c r="B211" s="12" t="s">
        <v>31</v>
      </c>
      <c r="C211" s="33">
        <v>1</v>
      </c>
    </row>
    <row r="212" spans="2:3" x14ac:dyDescent="0.25">
      <c r="B212" s="12" t="s">
        <v>252</v>
      </c>
      <c r="C212" s="33">
        <v>87</v>
      </c>
    </row>
    <row r="213" spans="2:3" x14ac:dyDescent="0.25">
      <c r="B213" s="12" t="s">
        <v>130</v>
      </c>
      <c r="C213" s="33">
        <v>1</v>
      </c>
    </row>
    <row r="214" spans="2:3" x14ac:dyDescent="0.25">
      <c r="B214" s="13" t="s">
        <v>71</v>
      </c>
      <c r="C214" s="33">
        <v>11</v>
      </c>
    </row>
    <row r="215" spans="2:3" x14ac:dyDescent="0.25">
      <c r="B215" s="13" t="s">
        <v>296</v>
      </c>
      <c r="C215" s="33">
        <v>1</v>
      </c>
    </row>
    <row r="216" spans="2:3" x14ac:dyDescent="0.25">
      <c r="B216" s="12" t="s">
        <v>68</v>
      </c>
      <c r="C216" s="33">
        <v>1</v>
      </c>
    </row>
    <row r="217" spans="2:3" x14ac:dyDescent="0.25">
      <c r="B217" s="13" t="s">
        <v>247</v>
      </c>
      <c r="C217" s="33">
        <v>8</v>
      </c>
    </row>
    <row r="218" spans="2:3" x14ac:dyDescent="0.25">
      <c r="B218" s="12" t="s">
        <v>2</v>
      </c>
      <c r="C218" s="33">
        <v>1</v>
      </c>
    </row>
    <row r="219" spans="2:3" x14ac:dyDescent="0.25">
      <c r="B219" s="13" t="s">
        <v>299</v>
      </c>
      <c r="C219" s="33">
        <v>4</v>
      </c>
    </row>
    <row r="220" spans="2:3" x14ac:dyDescent="0.25">
      <c r="B220" s="13" t="s">
        <v>43</v>
      </c>
      <c r="C220" s="33">
        <v>11</v>
      </c>
    </row>
    <row r="221" spans="2:3" x14ac:dyDescent="0.25">
      <c r="B221" s="13" t="s">
        <v>286</v>
      </c>
      <c r="C221" s="33">
        <v>1</v>
      </c>
    </row>
    <row r="222" spans="2:3" x14ac:dyDescent="0.25">
      <c r="B222" s="12" t="s">
        <v>107</v>
      </c>
      <c r="C222" s="33">
        <v>1</v>
      </c>
    </row>
    <row r="223" spans="2:3" x14ac:dyDescent="0.25">
      <c r="B223" s="12" t="s">
        <v>293</v>
      </c>
      <c r="C223" s="33">
        <v>1</v>
      </c>
    </row>
    <row r="224" spans="2:3" x14ac:dyDescent="0.25">
      <c r="B224" s="13" t="s">
        <v>136</v>
      </c>
      <c r="C224" s="33">
        <v>1</v>
      </c>
    </row>
    <row r="225" spans="2:3" x14ac:dyDescent="0.25">
      <c r="B225" s="12" t="s">
        <v>158</v>
      </c>
      <c r="C225" s="33">
        <v>1</v>
      </c>
    </row>
    <row r="226" spans="2:3" x14ac:dyDescent="0.25">
      <c r="B226" s="13" t="s">
        <v>181</v>
      </c>
      <c r="C226" s="33">
        <v>2</v>
      </c>
    </row>
    <row r="227" spans="2:3" x14ac:dyDescent="0.25">
      <c r="B227" s="13" t="s">
        <v>228</v>
      </c>
      <c r="C227" s="33">
        <v>1</v>
      </c>
    </row>
    <row r="228" spans="2:3" x14ac:dyDescent="0.25">
      <c r="B228" s="13" t="s">
        <v>175</v>
      </c>
      <c r="C228" s="33">
        <v>1</v>
      </c>
    </row>
    <row r="229" spans="2:3" x14ac:dyDescent="0.25">
      <c r="B229" s="13" t="s">
        <v>139</v>
      </c>
      <c r="C229" s="33">
        <v>1</v>
      </c>
    </row>
    <row r="230" spans="2:3" x14ac:dyDescent="0.25">
      <c r="B230" s="13" t="s">
        <v>125</v>
      </c>
      <c r="C230" s="33">
        <v>1</v>
      </c>
    </row>
    <row r="231" spans="2:3" x14ac:dyDescent="0.25">
      <c r="B231" s="13" t="s">
        <v>326</v>
      </c>
      <c r="C231" s="33">
        <v>20</v>
      </c>
    </row>
    <row r="232" spans="2:3" x14ac:dyDescent="0.25">
      <c r="B232" s="13" t="s">
        <v>198</v>
      </c>
      <c r="C232" s="33">
        <v>1</v>
      </c>
    </row>
    <row r="233" spans="2:3" x14ac:dyDescent="0.25">
      <c r="B233" s="13" t="s">
        <v>191</v>
      </c>
      <c r="C233" s="33">
        <v>1</v>
      </c>
    </row>
    <row r="234" spans="2:3" x14ac:dyDescent="0.25">
      <c r="B234" s="12" t="s">
        <v>193</v>
      </c>
      <c r="C234" s="33">
        <v>1</v>
      </c>
    </row>
    <row r="235" spans="2:3" x14ac:dyDescent="0.25">
      <c r="B235" s="13" t="s">
        <v>315</v>
      </c>
      <c r="C235" s="33">
        <v>1</v>
      </c>
    </row>
    <row r="236" spans="2:3" x14ac:dyDescent="0.25">
      <c r="B236" s="13" t="s">
        <v>332</v>
      </c>
      <c r="C236" s="33">
        <v>34</v>
      </c>
    </row>
    <row r="237" spans="2:3" x14ac:dyDescent="0.25">
      <c r="B237" s="12" t="s">
        <v>460</v>
      </c>
      <c r="C237" s="33">
        <v>1</v>
      </c>
    </row>
    <row r="238" spans="2:3" x14ac:dyDescent="0.25">
      <c r="B238" s="12" t="s">
        <v>457</v>
      </c>
      <c r="C238" s="33">
        <v>1</v>
      </c>
    </row>
    <row r="239" spans="2:3" x14ac:dyDescent="0.25">
      <c r="B239" s="13" t="s">
        <v>455</v>
      </c>
      <c r="C239" s="33">
        <v>1</v>
      </c>
    </row>
    <row r="240" spans="2:3" x14ac:dyDescent="0.25">
      <c r="B240" s="13" t="s">
        <v>168</v>
      </c>
      <c r="C240" s="33">
        <v>20</v>
      </c>
    </row>
    <row r="241" spans="2:3" x14ac:dyDescent="0.25">
      <c r="B241" s="13" t="s">
        <v>514</v>
      </c>
      <c r="C241" s="33">
        <v>1</v>
      </c>
    </row>
    <row r="242" spans="2:3" x14ac:dyDescent="0.25">
      <c r="B242" s="13" t="s">
        <v>279</v>
      </c>
      <c r="C242" s="33">
        <v>1</v>
      </c>
    </row>
    <row r="243" spans="2:3" x14ac:dyDescent="0.25">
      <c r="B243" s="13" t="s">
        <v>317</v>
      </c>
      <c r="C243" s="33">
        <v>1</v>
      </c>
    </row>
    <row r="244" spans="2:3" x14ac:dyDescent="0.25">
      <c r="B244" s="13" t="s">
        <v>223</v>
      </c>
      <c r="C244" s="33">
        <v>2</v>
      </c>
    </row>
    <row r="245" spans="2:3" x14ac:dyDescent="0.25">
      <c r="B245" s="13" t="s">
        <v>215</v>
      </c>
      <c r="C245" s="33">
        <v>10</v>
      </c>
    </row>
    <row r="246" spans="2:3" x14ac:dyDescent="0.25">
      <c r="B246" s="13" t="s">
        <v>102</v>
      </c>
      <c r="C246" s="33">
        <v>1</v>
      </c>
    </row>
    <row r="247" spans="2:3" x14ac:dyDescent="0.25">
      <c r="B247" s="12" t="s">
        <v>463</v>
      </c>
      <c r="C247" s="33">
        <v>1</v>
      </c>
    </row>
    <row r="248" spans="2:3" x14ac:dyDescent="0.25">
      <c r="B248" s="13" t="s">
        <v>232</v>
      </c>
      <c r="C248" s="33">
        <v>7</v>
      </c>
    </row>
    <row r="249" spans="2:3" x14ac:dyDescent="0.25">
      <c r="B249" s="13" t="s">
        <v>230</v>
      </c>
      <c r="C249" s="33">
        <v>2</v>
      </c>
    </row>
    <row r="250" spans="2:3" x14ac:dyDescent="0.25">
      <c r="B250" s="13" t="s">
        <v>354</v>
      </c>
      <c r="C250" s="33">
        <v>2</v>
      </c>
    </row>
    <row r="251" spans="2:3" x14ac:dyDescent="0.25">
      <c r="B251" s="13" t="s">
        <v>236</v>
      </c>
      <c r="C251" s="33">
        <v>1</v>
      </c>
    </row>
    <row r="252" spans="2:3" x14ac:dyDescent="0.25">
      <c r="B252" s="13" t="s">
        <v>183</v>
      </c>
      <c r="C252" s="33">
        <v>5</v>
      </c>
    </row>
    <row r="253" spans="2:3" x14ac:dyDescent="0.25">
      <c r="B253" s="13" t="s">
        <v>173</v>
      </c>
      <c r="C253" s="33">
        <v>15</v>
      </c>
    </row>
    <row r="254" spans="2:3" x14ac:dyDescent="0.25">
      <c r="B254" s="12" t="s">
        <v>390</v>
      </c>
      <c r="C254" s="33">
        <v>10</v>
      </c>
    </row>
    <row r="255" spans="2:3" x14ac:dyDescent="0.25">
      <c r="B255" s="12" t="s">
        <v>240</v>
      </c>
      <c r="C255" s="33">
        <v>1</v>
      </c>
    </row>
    <row r="256" spans="2:3" x14ac:dyDescent="0.25">
      <c r="B256" s="13" t="s">
        <v>10</v>
      </c>
      <c r="C256" s="33">
        <v>1</v>
      </c>
    </row>
    <row r="257" spans="2:3" x14ac:dyDescent="0.25">
      <c r="B257" s="13" t="s">
        <v>491</v>
      </c>
      <c r="C257" s="33">
        <v>1</v>
      </c>
    </row>
    <row r="258" spans="2:3" x14ac:dyDescent="0.25">
      <c r="B258" s="12" t="s">
        <v>487</v>
      </c>
      <c r="C258" s="33">
        <v>1</v>
      </c>
    </row>
    <row r="259" spans="2:3" x14ac:dyDescent="0.25">
      <c r="B259" s="12" t="s">
        <v>119</v>
      </c>
      <c r="C259" s="33">
        <v>1</v>
      </c>
    </row>
    <row r="260" spans="2:3" x14ac:dyDescent="0.25">
      <c r="B260" s="12" t="s">
        <v>3</v>
      </c>
      <c r="C260" s="33">
        <v>1</v>
      </c>
    </row>
    <row r="261" spans="2:3" x14ac:dyDescent="0.25">
      <c r="B261" s="13" t="s">
        <v>234</v>
      </c>
      <c r="C261" s="33">
        <v>20</v>
      </c>
    </row>
    <row r="262" spans="2:3" x14ac:dyDescent="0.25">
      <c r="B262" s="13" t="s">
        <v>248</v>
      </c>
      <c r="C262" s="33">
        <v>9</v>
      </c>
    </row>
    <row r="263" spans="2:3" x14ac:dyDescent="0.25">
      <c r="B263" s="13" t="s">
        <v>343</v>
      </c>
      <c r="C263" s="33">
        <v>1</v>
      </c>
    </row>
    <row r="264" spans="2:3" x14ac:dyDescent="0.25">
      <c r="B264" s="12" t="s">
        <v>424</v>
      </c>
      <c r="C264" s="33">
        <v>278</v>
      </c>
    </row>
    <row r="265" spans="2:3" x14ac:dyDescent="0.25">
      <c r="B265" s="13" t="s">
        <v>246</v>
      </c>
      <c r="C265" s="33">
        <v>1</v>
      </c>
    </row>
    <row r="266" spans="2:3" x14ac:dyDescent="0.25">
      <c r="B266" s="13" t="s">
        <v>188</v>
      </c>
      <c r="C266" s="33">
        <v>1</v>
      </c>
    </row>
    <row r="267" spans="2:3" x14ac:dyDescent="0.25">
      <c r="B267" s="12" t="s">
        <v>5</v>
      </c>
      <c r="C267" s="33">
        <v>1</v>
      </c>
    </row>
    <row r="268" spans="2:3" x14ac:dyDescent="0.25">
      <c r="B268" s="13" t="s">
        <v>142</v>
      </c>
      <c r="C268" s="33">
        <v>10</v>
      </c>
    </row>
    <row r="269" spans="2:3" x14ac:dyDescent="0.25">
      <c r="B269" s="13" t="s">
        <v>494</v>
      </c>
      <c r="C269" s="33">
        <v>1</v>
      </c>
    </row>
    <row r="270" spans="2:3" x14ac:dyDescent="0.25">
      <c r="B270" s="12" t="s">
        <v>121</v>
      </c>
      <c r="C270" s="33">
        <v>1</v>
      </c>
    </row>
    <row r="271" spans="2:3" x14ac:dyDescent="0.25">
      <c r="B271" s="13" t="s">
        <v>213</v>
      </c>
      <c r="C271" s="33">
        <v>15</v>
      </c>
    </row>
    <row r="272" spans="2:3" x14ac:dyDescent="0.25">
      <c r="B272" s="13" t="s">
        <v>515</v>
      </c>
      <c r="C272" s="33">
        <v>1</v>
      </c>
    </row>
    <row r="273" spans="2:3" x14ac:dyDescent="0.25">
      <c r="B273" s="12" t="s">
        <v>140</v>
      </c>
      <c r="C273" s="33">
        <v>1</v>
      </c>
    </row>
    <row r="274" spans="2:3" x14ac:dyDescent="0.25">
      <c r="B274" s="13" t="s">
        <v>180</v>
      </c>
      <c r="C274" s="33">
        <v>1</v>
      </c>
    </row>
    <row r="275" spans="2:3" x14ac:dyDescent="0.25">
      <c r="B275" s="13" t="s">
        <v>171</v>
      </c>
      <c r="C275" s="33">
        <v>1</v>
      </c>
    </row>
    <row r="276" spans="2:3" x14ac:dyDescent="0.25">
      <c r="B276" s="13" t="s">
        <v>184</v>
      </c>
      <c r="C276" s="33">
        <v>6</v>
      </c>
    </row>
    <row r="277" spans="2:3" x14ac:dyDescent="0.25">
      <c r="B277" s="13" t="s">
        <v>397</v>
      </c>
      <c r="C277" s="33">
        <v>1</v>
      </c>
    </row>
    <row r="278" spans="2:3" x14ac:dyDescent="0.25">
      <c r="B278" s="13" t="s">
        <v>282</v>
      </c>
      <c r="C278" s="33">
        <v>1</v>
      </c>
    </row>
    <row r="279" spans="2:3" x14ac:dyDescent="0.25">
      <c r="B279" s="13" t="s">
        <v>281</v>
      </c>
      <c r="C279" s="33">
        <v>1</v>
      </c>
    </row>
    <row r="280" spans="2:3" x14ac:dyDescent="0.25">
      <c r="B280" s="13" t="s">
        <v>185</v>
      </c>
      <c r="C280" s="33">
        <v>1</v>
      </c>
    </row>
    <row r="281" spans="2:3" x14ac:dyDescent="0.25">
      <c r="B281" s="12" t="s">
        <v>342</v>
      </c>
      <c r="C281" s="33">
        <v>1</v>
      </c>
    </row>
    <row r="282" spans="2:3" x14ac:dyDescent="0.25">
      <c r="B282" s="12" t="s">
        <v>127</v>
      </c>
      <c r="C282" s="33">
        <v>1</v>
      </c>
    </row>
    <row r="283" spans="2:3" x14ac:dyDescent="0.25">
      <c r="B283" s="13" t="s">
        <v>78</v>
      </c>
      <c r="C283" s="33">
        <v>17</v>
      </c>
    </row>
    <row r="284" spans="2:3" x14ac:dyDescent="0.25">
      <c r="B284" s="13" t="s">
        <v>480</v>
      </c>
      <c r="C284" s="33">
        <v>2</v>
      </c>
    </row>
    <row r="285" spans="2:3" x14ac:dyDescent="0.25">
      <c r="B285" s="13" t="s">
        <v>473</v>
      </c>
      <c r="C285" s="33">
        <v>6</v>
      </c>
    </row>
    <row r="286" spans="2:3" x14ac:dyDescent="0.25">
      <c r="B286" s="13" t="s">
        <v>513</v>
      </c>
      <c r="C286" s="33">
        <v>1</v>
      </c>
    </row>
    <row r="287" spans="2:3" x14ac:dyDescent="0.25">
      <c r="B287" s="13" t="s">
        <v>489</v>
      </c>
      <c r="C287" s="33">
        <v>2</v>
      </c>
    </row>
    <row r="288" spans="2:3" x14ac:dyDescent="0.25">
      <c r="B288" s="13" t="s">
        <v>285</v>
      </c>
      <c r="C288" s="33">
        <v>3</v>
      </c>
    </row>
    <row r="289" spans="2:3" x14ac:dyDescent="0.25">
      <c r="B289" s="13" t="s">
        <v>469</v>
      </c>
      <c r="C289" s="33">
        <v>3</v>
      </c>
    </row>
    <row r="290" spans="2:3" x14ac:dyDescent="0.25">
      <c r="B290" s="13" t="s">
        <v>143</v>
      </c>
      <c r="C290" s="33">
        <v>12</v>
      </c>
    </row>
    <row r="291" spans="2:3" x14ac:dyDescent="0.25">
      <c r="B291" s="12" t="s">
        <v>144</v>
      </c>
      <c r="C291" s="33">
        <v>1</v>
      </c>
    </row>
    <row r="292" spans="2:3" x14ac:dyDescent="0.25">
      <c r="B292" s="13" t="s">
        <v>306</v>
      </c>
      <c r="C292" s="33">
        <v>1</v>
      </c>
    </row>
    <row r="293" spans="2:3" x14ac:dyDescent="0.25">
      <c r="B293" s="13" t="s">
        <v>186</v>
      </c>
      <c r="C293" s="33">
        <v>2</v>
      </c>
    </row>
    <row r="294" spans="2:3" x14ac:dyDescent="0.25">
      <c r="B294" s="13" t="s">
        <v>307</v>
      </c>
      <c r="C294" s="33">
        <v>1</v>
      </c>
    </row>
    <row r="295" spans="2:3" x14ac:dyDescent="0.25">
      <c r="B295" s="13" t="s">
        <v>477</v>
      </c>
      <c r="C295" s="33">
        <v>1</v>
      </c>
    </row>
    <row r="296" spans="2:3" x14ac:dyDescent="0.25">
      <c r="B296" s="13" t="s">
        <v>151</v>
      </c>
      <c r="C296" s="33">
        <v>20</v>
      </c>
    </row>
    <row r="297" spans="2:3" x14ac:dyDescent="0.25">
      <c r="B297" s="13" t="s">
        <v>474</v>
      </c>
      <c r="C297" s="33">
        <v>1</v>
      </c>
    </row>
    <row r="298" spans="2:3" x14ac:dyDescent="0.25">
      <c r="B298" s="13" t="s">
        <v>284</v>
      </c>
      <c r="C298" s="33">
        <v>13</v>
      </c>
    </row>
    <row r="299" spans="2:3" x14ac:dyDescent="0.25">
      <c r="B299" s="13" t="s">
        <v>190</v>
      </c>
      <c r="C299" s="33">
        <v>4</v>
      </c>
    </row>
    <row r="300" spans="2:3" x14ac:dyDescent="0.25">
      <c r="B300" s="12" t="s">
        <v>432</v>
      </c>
      <c r="C300" s="33">
        <v>6</v>
      </c>
    </row>
    <row r="301" spans="2:3" x14ac:dyDescent="0.25">
      <c r="B301" s="12" t="s">
        <v>58</v>
      </c>
      <c r="C301" s="33">
        <v>1</v>
      </c>
    </row>
    <row r="302" spans="2:3" x14ac:dyDescent="0.25">
      <c r="B302" s="13" t="s">
        <v>490</v>
      </c>
      <c r="C302" s="33">
        <v>1</v>
      </c>
    </row>
    <row r="303" spans="2:3" x14ac:dyDescent="0.25">
      <c r="B303" s="12" t="s">
        <v>518</v>
      </c>
      <c r="C303" s="33">
        <v>1</v>
      </c>
    </row>
    <row r="304" spans="2:3" x14ac:dyDescent="0.25">
      <c r="B304" s="13" t="s">
        <v>157</v>
      </c>
      <c r="C304" s="33">
        <v>1</v>
      </c>
    </row>
    <row r="305" spans="2:3" x14ac:dyDescent="0.25">
      <c r="B305" s="13" t="s">
        <v>305</v>
      </c>
      <c r="C305" s="33">
        <v>1</v>
      </c>
    </row>
    <row r="306" spans="2:3" x14ac:dyDescent="0.25">
      <c r="B306" s="13" t="s">
        <v>150</v>
      </c>
      <c r="C306" s="33">
        <v>1</v>
      </c>
    </row>
    <row r="307" spans="2:3" x14ac:dyDescent="0.25">
      <c r="B307" s="13" t="s">
        <v>266</v>
      </c>
      <c r="C307" s="33">
        <v>9</v>
      </c>
    </row>
    <row r="308" spans="2:3" x14ac:dyDescent="0.25">
      <c r="B308" s="13" t="s">
        <v>45</v>
      </c>
      <c r="C308" s="33">
        <v>17</v>
      </c>
    </row>
    <row r="309" spans="2:3" x14ac:dyDescent="0.25">
      <c r="B309" s="12" t="s">
        <v>123</v>
      </c>
      <c r="C309" s="33">
        <v>1</v>
      </c>
    </row>
    <row r="310" spans="2:3" x14ac:dyDescent="0.25">
      <c r="B310" s="12" t="s">
        <v>492</v>
      </c>
      <c r="C310" s="33">
        <v>1</v>
      </c>
    </row>
    <row r="311" spans="2:3" x14ac:dyDescent="0.25">
      <c r="B311" s="12" t="s">
        <v>113</v>
      </c>
      <c r="C311" s="33">
        <v>1</v>
      </c>
    </row>
    <row r="312" spans="2:3" x14ac:dyDescent="0.25">
      <c r="B312" s="12" t="s">
        <v>115</v>
      </c>
      <c r="C312" s="33">
        <v>1</v>
      </c>
    </row>
    <row r="313" spans="2:3" x14ac:dyDescent="0.25">
      <c r="B313" s="12" t="s">
        <v>62</v>
      </c>
      <c r="C313" s="33">
        <v>1</v>
      </c>
    </row>
    <row r="314" spans="2:3" x14ac:dyDescent="0.25">
      <c r="B314" s="12" t="s">
        <v>13</v>
      </c>
      <c r="C314" s="33">
        <v>1</v>
      </c>
    </row>
    <row r="315" spans="2:3" x14ac:dyDescent="0.25">
      <c r="B315" s="13" t="s">
        <v>60</v>
      </c>
      <c r="C315" s="33">
        <v>1</v>
      </c>
    </row>
    <row r="316" spans="2:3" x14ac:dyDescent="0.25">
      <c r="B316" s="12" t="s">
        <v>63</v>
      </c>
      <c r="C316" s="33">
        <v>1</v>
      </c>
    </row>
    <row r="317" spans="2:3" x14ac:dyDescent="0.25">
      <c r="B317" s="13" t="s">
        <v>30</v>
      </c>
      <c r="C317" s="33">
        <v>1</v>
      </c>
    </row>
    <row r="318" spans="2:3" x14ac:dyDescent="0.25">
      <c r="B318" s="12" t="s">
        <v>61</v>
      </c>
      <c r="C318" s="33">
        <v>1</v>
      </c>
    </row>
    <row r="319" spans="2:3" x14ac:dyDescent="0.25">
      <c r="B319" s="13" t="s">
        <v>254</v>
      </c>
      <c r="C319" s="33">
        <v>17</v>
      </c>
    </row>
    <row r="320" spans="2:3" x14ac:dyDescent="0.25">
      <c r="B320" s="13" t="s">
        <v>272</v>
      </c>
      <c r="C320" s="33">
        <v>7</v>
      </c>
    </row>
    <row r="321" spans="2:3" x14ac:dyDescent="0.25">
      <c r="B321" s="12" t="s">
        <v>519</v>
      </c>
      <c r="C321" s="33">
        <v>1</v>
      </c>
    </row>
    <row r="322" spans="2:3" x14ac:dyDescent="0.25">
      <c r="B322" s="13" t="s">
        <v>65</v>
      </c>
      <c r="C322" s="33">
        <v>20</v>
      </c>
    </row>
    <row r="323" spans="2:3" x14ac:dyDescent="0.25">
      <c r="B323" s="13" t="s">
        <v>273</v>
      </c>
      <c r="C323" s="33">
        <v>2</v>
      </c>
    </row>
    <row r="324" spans="2:3" x14ac:dyDescent="0.25">
      <c r="B324" s="13" t="s">
        <v>318</v>
      </c>
      <c r="C324" s="33">
        <v>4</v>
      </c>
    </row>
    <row r="325" spans="2:3" x14ac:dyDescent="0.25">
      <c r="B325" s="12" t="s">
        <v>459</v>
      </c>
      <c r="C325" s="33">
        <v>1</v>
      </c>
    </row>
    <row r="326" spans="2:3" x14ac:dyDescent="0.25">
      <c r="B326" s="13" t="s">
        <v>109</v>
      </c>
      <c r="C326" s="33">
        <v>1</v>
      </c>
    </row>
    <row r="327" spans="2:3" x14ac:dyDescent="0.25">
      <c r="B327" s="13" t="s">
        <v>214</v>
      </c>
      <c r="C327" s="33">
        <v>4</v>
      </c>
    </row>
    <row r="328" spans="2:3" x14ac:dyDescent="0.25">
      <c r="B328" s="13" t="s">
        <v>212</v>
      </c>
      <c r="C328" s="33">
        <v>11</v>
      </c>
    </row>
    <row r="329" spans="2:3" x14ac:dyDescent="0.25">
      <c r="B329" s="13" t="s">
        <v>87</v>
      </c>
      <c r="C329" s="33">
        <v>113</v>
      </c>
    </row>
    <row r="330" spans="2:3" x14ac:dyDescent="0.25">
      <c r="B330" s="13" t="s">
        <v>166</v>
      </c>
      <c r="C330" s="33">
        <v>1</v>
      </c>
    </row>
    <row r="331" spans="2:3" x14ac:dyDescent="0.25">
      <c r="B331" s="12" t="s">
        <v>445</v>
      </c>
      <c r="C331" s="33">
        <v>1</v>
      </c>
    </row>
    <row r="332" spans="2:3" x14ac:dyDescent="0.25">
      <c r="B332" s="13" t="s">
        <v>355</v>
      </c>
      <c r="C332" s="33">
        <v>1</v>
      </c>
    </row>
    <row r="333" spans="2:3" x14ac:dyDescent="0.25">
      <c r="B333" s="12" t="s">
        <v>159</v>
      </c>
      <c r="C333" s="33">
        <v>1</v>
      </c>
    </row>
    <row r="334" spans="2:3" x14ac:dyDescent="0.25">
      <c r="B334" s="13" t="s">
        <v>289</v>
      </c>
      <c r="C334" s="33">
        <v>1</v>
      </c>
    </row>
    <row r="335" spans="2:3" x14ac:dyDescent="0.25">
      <c r="B335" s="13" t="s">
        <v>196</v>
      </c>
      <c r="C335" s="33">
        <v>14</v>
      </c>
    </row>
    <row r="336" spans="2:3" x14ac:dyDescent="0.25">
      <c r="B336" s="13" t="s">
        <v>93</v>
      </c>
      <c r="C336" s="33">
        <v>10</v>
      </c>
    </row>
    <row r="337" spans="2:3" x14ac:dyDescent="0.25">
      <c r="B337" s="13" t="s">
        <v>461</v>
      </c>
      <c r="C337" s="33">
        <v>1</v>
      </c>
    </row>
    <row r="338" spans="2:3" x14ac:dyDescent="0.25">
      <c r="B338" s="13" t="s">
        <v>178</v>
      </c>
      <c r="C338" s="33">
        <v>2</v>
      </c>
    </row>
    <row r="339" spans="2:3" x14ac:dyDescent="0.25">
      <c r="B339" s="13" t="s">
        <v>250</v>
      </c>
      <c r="C339" s="33">
        <v>1</v>
      </c>
    </row>
    <row r="340" spans="2:3" x14ac:dyDescent="0.25">
      <c r="B340" s="13" t="s">
        <v>310</v>
      </c>
      <c r="C340" s="33">
        <v>80</v>
      </c>
    </row>
    <row r="341" spans="2:3" x14ac:dyDescent="0.25">
      <c r="B341" s="13" t="s">
        <v>471</v>
      </c>
      <c r="C341" s="33">
        <v>3</v>
      </c>
    </row>
    <row r="342" spans="2:3" x14ac:dyDescent="0.25">
      <c r="B342" s="13" t="s">
        <v>508</v>
      </c>
      <c r="C342" s="33">
        <v>1</v>
      </c>
    </row>
    <row r="343" spans="2:3" x14ac:dyDescent="0.25">
      <c r="B343" s="13" t="s">
        <v>472</v>
      </c>
      <c r="C343" s="33">
        <v>1</v>
      </c>
    </row>
    <row r="344" spans="2:3" x14ac:dyDescent="0.25">
      <c r="B344" s="13" t="s">
        <v>479</v>
      </c>
      <c r="C344" s="33">
        <v>1</v>
      </c>
    </row>
    <row r="345" spans="2:3" x14ac:dyDescent="0.25">
      <c r="B345" s="13" t="s">
        <v>257</v>
      </c>
      <c r="C345" s="33">
        <v>2</v>
      </c>
    </row>
    <row r="346" spans="2:3" x14ac:dyDescent="0.25">
      <c r="B346" s="12" t="s">
        <v>120</v>
      </c>
      <c r="C346" s="33">
        <v>1</v>
      </c>
    </row>
    <row r="347" spans="2:3" x14ac:dyDescent="0.25">
      <c r="B347" s="13" t="s">
        <v>467</v>
      </c>
      <c r="C347" s="33" t="s">
        <v>468</v>
      </c>
    </row>
    <row r="348" spans="2:3" x14ac:dyDescent="0.25">
      <c r="B348" s="12" t="s">
        <v>1</v>
      </c>
      <c r="C348" s="33">
        <v>1</v>
      </c>
    </row>
    <row r="349" spans="2:3" x14ac:dyDescent="0.25">
      <c r="B349" s="13" t="s">
        <v>517</v>
      </c>
      <c r="C349" s="33">
        <v>1</v>
      </c>
    </row>
    <row r="350" spans="2:3" x14ac:dyDescent="0.25">
      <c r="B350" s="13" t="s">
        <v>501</v>
      </c>
      <c r="C350" s="33">
        <v>1</v>
      </c>
    </row>
    <row r="351" spans="2:3" x14ac:dyDescent="0.25">
      <c r="B351" s="12" t="s">
        <v>174</v>
      </c>
      <c r="C351" s="33">
        <v>1</v>
      </c>
    </row>
    <row r="352" spans="2:3" x14ac:dyDescent="0.25">
      <c r="B352" s="13" t="s">
        <v>128</v>
      </c>
      <c r="C352" s="33">
        <v>1</v>
      </c>
    </row>
    <row r="353" spans="2:3" x14ac:dyDescent="0.25">
      <c r="B353" s="13" t="s">
        <v>167</v>
      </c>
      <c r="C353" s="33">
        <v>68</v>
      </c>
    </row>
    <row r="354" spans="2:3" x14ac:dyDescent="0.25">
      <c r="B354" s="12" t="s">
        <v>4</v>
      </c>
      <c r="C354" s="33">
        <v>1</v>
      </c>
    </row>
    <row r="355" spans="2:3" x14ac:dyDescent="0.25">
      <c r="B355" s="13" t="s">
        <v>442</v>
      </c>
      <c r="C355" s="33">
        <v>15</v>
      </c>
    </row>
    <row r="356" spans="2:3" x14ac:dyDescent="0.25">
      <c r="B356" s="13" t="s">
        <v>147</v>
      </c>
      <c r="C356" s="33">
        <v>36</v>
      </c>
    </row>
    <row r="357" spans="2:3" x14ac:dyDescent="0.25">
      <c r="B357" s="13" t="s">
        <v>314</v>
      </c>
      <c r="C357" s="33">
        <v>14</v>
      </c>
    </row>
    <row r="358" spans="2:3" x14ac:dyDescent="0.25">
      <c r="B358" s="12" t="s">
        <v>327</v>
      </c>
      <c r="C358" s="33">
        <v>1</v>
      </c>
    </row>
    <row r="359" spans="2:3" x14ac:dyDescent="0.25">
      <c r="B359" s="12" t="s">
        <v>530</v>
      </c>
      <c r="C359" s="33">
        <v>1</v>
      </c>
    </row>
    <row r="360" spans="2:3" x14ac:dyDescent="0.25">
      <c r="B360" s="12" t="s">
        <v>269</v>
      </c>
      <c r="C360" s="33">
        <v>8</v>
      </c>
    </row>
    <row r="361" spans="2:3" x14ac:dyDescent="0.25">
      <c r="B361" s="13" t="s">
        <v>243</v>
      </c>
      <c r="C361" s="33">
        <v>71</v>
      </c>
    </row>
    <row r="362" spans="2:3" x14ac:dyDescent="0.25">
      <c r="B362" s="12" t="s">
        <v>453</v>
      </c>
      <c r="C362" s="33">
        <v>42</v>
      </c>
    </row>
    <row r="363" spans="2:3" x14ac:dyDescent="0.25">
      <c r="B363" s="12" t="s">
        <v>260</v>
      </c>
      <c r="C363" s="33">
        <v>2</v>
      </c>
    </row>
    <row r="364" spans="2:3" x14ac:dyDescent="0.25">
      <c r="B364" s="13" t="s">
        <v>446</v>
      </c>
      <c r="C364" s="33">
        <v>3</v>
      </c>
    </row>
    <row r="365" spans="2:3" x14ac:dyDescent="0.25">
      <c r="B365" s="13" t="s">
        <v>275</v>
      </c>
      <c r="C365" s="33">
        <v>20</v>
      </c>
    </row>
    <row r="366" spans="2:3" x14ac:dyDescent="0.25">
      <c r="B366" s="13" t="s">
        <v>220</v>
      </c>
      <c r="C366" s="33">
        <v>8</v>
      </c>
    </row>
    <row r="367" spans="2:3" x14ac:dyDescent="0.25">
      <c r="B367" s="13" t="s">
        <v>339</v>
      </c>
      <c r="C367" s="33">
        <v>13</v>
      </c>
    </row>
    <row r="368" spans="2:3" x14ac:dyDescent="0.25">
      <c r="B368" s="13" t="s">
        <v>454</v>
      </c>
      <c r="C368" s="33">
        <v>3</v>
      </c>
    </row>
    <row r="369" spans="2:3" x14ac:dyDescent="0.25">
      <c r="B369" t="s">
        <v>510</v>
      </c>
      <c r="C369" s="33">
        <v>1</v>
      </c>
    </row>
    <row r="370" spans="2:3" x14ac:dyDescent="0.25">
      <c r="B370" t="s">
        <v>444</v>
      </c>
      <c r="C370" s="33">
        <v>2</v>
      </c>
    </row>
    <row r="371" spans="2:3" x14ac:dyDescent="0.25">
      <c r="B371" t="s">
        <v>11</v>
      </c>
      <c r="C371" s="33">
        <v>1</v>
      </c>
    </row>
    <row r="372" spans="2:3" x14ac:dyDescent="0.25">
      <c r="B372" t="s">
        <v>160</v>
      </c>
      <c r="C372" s="33">
        <v>13</v>
      </c>
    </row>
    <row r="373" spans="2:3" x14ac:dyDescent="0.25">
      <c r="B373" t="s">
        <v>348</v>
      </c>
      <c r="C373" s="33">
        <v>1</v>
      </c>
    </row>
    <row r="374" spans="2:3" x14ac:dyDescent="0.25">
      <c r="B374" s="13" t="s">
        <v>531</v>
      </c>
      <c r="C374" s="33">
        <v>1</v>
      </c>
    </row>
    <row r="375" spans="2:3" x14ac:dyDescent="0.25">
      <c r="B375" s="12" t="s">
        <v>277</v>
      </c>
      <c r="C375" s="33">
        <v>1</v>
      </c>
    </row>
    <row r="376" spans="2:3" x14ac:dyDescent="0.25">
      <c r="B376" s="12" t="s">
        <v>523</v>
      </c>
      <c r="C376" s="33">
        <v>1</v>
      </c>
    </row>
    <row r="377" spans="2:3" x14ac:dyDescent="0.25">
      <c r="B377" t="s">
        <v>203</v>
      </c>
      <c r="C377" s="33">
        <v>4</v>
      </c>
    </row>
    <row r="378" spans="2:3" x14ac:dyDescent="0.25">
      <c r="B378" s="12"/>
      <c r="C378" s="33">
        <v>0</v>
      </c>
    </row>
    <row r="379" spans="2:3" x14ac:dyDescent="0.25">
      <c r="B379"/>
      <c r="C379"/>
    </row>
    <row r="380" spans="2:3" x14ac:dyDescent="0.25">
      <c r="B380"/>
      <c r="C380"/>
    </row>
    <row r="381" spans="2:3" x14ac:dyDescent="0.25">
      <c r="B381"/>
      <c r="C381"/>
    </row>
    <row r="382" spans="2:3" x14ac:dyDescent="0.25">
      <c r="B382"/>
      <c r="C382"/>
    </row>
    <row r="383" spans="2:3" x14ac:dyDescent="0.25">
      <c r="B383"/>
      <c r="C383"/>
    </row>
    <row r="384" spans="2:3" x14ac:dyDescent="0.25">
      <c r="B384"/>
      <c r="C384"/>
    </row>
    <row r="385" spans="2:3" x14ac:dyDescent="0.25">
      <c r="B385"/>
      <c r="C385"/>
    </row>
    <row r="386" spans="2:3" x14ac:dyDescent="0.25">
      <c r="B386"/>
      <c r="C386"/>
    </row>
    <row r="387" spans="2:3" x14ac:dyDescent="0.25">
      <c r="B387"/>
      <c r="C387"/>
    </row>
    <row r="388" spans="2:3" x14ac:dyDescent="0.25">
      <c r="B388"/>
      <c r="C388"/>
    </row>
    <row r="389" spans="2:3" x14ac:dyDescent="0.25">
      <c r="B389"/>
      <c r="C389"/>
    </row>
    <row r="390" spans="2:3" x14ac:dyDescent="0.25">
      <c r="B390"/>
      <c r="C390"/>
    </row>
    <row r="391" spans="2:3" x14ac:dyDescent="0.25">
      <c r="B391"/>
      <c r="C391"/>
    </row>
    <row r="392" spans="2:3" x14ac:dyDescent="0.25">
      <c r="B392"/>
      <c r="C392"/>
    </row>
    <row r="393" spans="2:3" x14ac:dyDescent="0.25">
      <c r="B393"/>
      <c r="C393"/>
    </row>
    <row r="394" spans="2:3" x14ac:dyDescent="0.25">
      <c r="B394"/>
      <c r="C394"/>
    </row>
    <row r="395" spans="2:3" x14ac:dyDescent="0.25">
      <c r="B395"/>
      <c r="C395"/>
    </row>
    <row r="396" spans="2:3" x14ac:dyDescent="0.25">
      <c r="B396"/>
      <c r="C396"/>
    </row>
    <row r="397" spans="2:3" x14ac:dyDescent="0.25">
      <c r="B397"/>
      <c r="C397"/>
    </row>
    <row r="398" spans="2:3" x14ac:dyDescent="0.25">
      <c r="B398"/>
      <c r="C398"/>
    </row>
    <row r="399" spans="2:3" x14ac:dyDescent="0.25">
      <c r="B399"/>
      <c r="C399"/>
    </row>
    <row r="400" spans="2:3" x14ac:dyDescent="0.25">
      <c r="B400"/>
      <c r="C400"/>
    </row>
    <row r="401" spans="2:3" x14ac:dyDescent="0.25">
      <c r="B401"/>
      <c r="C401"/>
    </row>
    <row r="402" spans="2:3" x14ac:dyDescent="0.25">
      <c r="B402"/>
      <c r="C402"/>
    </row>
    <row r="403" spans="2:3" x14ac:dyDescent="0.25">
      <c r="B403"/>
      <c r="C403"/>
    </row>
    <row r="404" spans="2:3" x14ac:dyDescent="0.25">
      <c r="B404"/>
      <c r="C404"/>
    </row>
    <row r="405" spans="2:3" x14ac:dyDescent="0.25">
      <c r="B405"/>
      <c r="C405"/>
    </row>
    <row r="406" spans="2:3" x14ac:dyDescent="0.25">
      <c r="B406"/>
      <c r="C406"/>
    </row>
    <row r="407" spans="2:3" x14ac:dyDescent="0.25">
      <c r="B407"/>
      <c r="C407"/>
    </row>
    <row r="408" spans="2:3" x14ac:dyDescent="0.25">
      <c r="B408"/>
      <c r="C408"/>
    </row>
    <row r="409" spans="2:3" x14ac:dyDescent="0.25">
      <c r="B409"/>
      <c r="C409"/>
    </row>
    <row r="410" spans="2:3" x14ac:dyDescent="0.25">
      <c r="B410"/>
      <c r="C410"/>
    </row>
    <row r="411" spans="2:3" x14ac:dyDescent="0.25">
      <c r="B411"/>
      <c r="C411"/>
    </row>
    <row r="412" spans="2:3" x14ac:dyDescent="0.25">
      <c r="B412"/>
      <c r="C412"/>
    </row>
    <row r="413" spans="2:3" x14ac:dyDescent="0.25">
      <c r="B413"/>
      <c r="C413"/>
    </row>
    <row r="414" spans="2:3" x14ac:dyDescent="0.25">
      <c r="B414"/>
      <c r="C414"/>
    </row>
    <row r="415" spans="2:3" x14ac:dyDescent="0.25">
      <c r="B415"/>
      <c r="C415"/>
    </row>
    <row r="416" spans="2:3" x14ac:dyDescent="0.25">
      <c r="B416"/>
      <c r="C416"/>
    </row>
    <row r="417" spans="2:3" x14ac:dyDescent="0.25">
      <c r="B417"/>
      <c r="C417"/>
    </row>
    <row r="418" spans="2:3" x14ac:dyDescent="0.25">
      <c r="B418"/>
      <c r="C418"/>
    </row>
    <row r="419" spans="2:3" x14ac:dyDescent="0.25">
      <c r="B419"/>
      <c r="C419"/>
    </row>
    <row r="420" spans="2:3" x14ac:dyDescent="0.25">
      <c r="B420"/>
      <c r="C420"/>
    </row>
    <row r="421" spans="2:3" x14ac:dyDescent="0.25">
      <c r="B421"/>
      <c r="C421"/>
    </row>
    <row r="422" spans="2:3" x14ac:dyDescent="0.25">
      <c r="B422"/>
      <c r="C422"/>
    </row>
    <row r="423" spans="2:3" x14ac:dyDescent="0.25">
      <c r="B423"/>
      <c r="C423"/>
    </row>
    <row r="424" spans="2:3" x14ac:dyDescent="0.25">
      <c r="B424"/>
      <c r="C424"/>
    </row>
    <row r="425" spans="2:3" x14ac:dyDescent="0.25">
      <c r="B425"/>
      <c r="C425"/>
    </row>
    <row r="426" spans="2:3" x14ac:dyDescent="0.25">
      <c r="B426"/>
      <c r="C426"/>
    </row>
    <row r="427" spans="2:3" x14ac:dyDescent="0.25">
      <c r="B427"/>
      <c r="C427"/>
    </row>
    <row r="428" spans="2:3" x14ac:dyDescent="0.25">
      <c r="B428"/>
      <c r="C428"/>
    </row>
    <row r="429" spans="2:3" x14ac:dyDescent="0.25">
      <c r="B429"/>
      <c r="C429"/>
    </row>
    <row r="430" spans="2:3" x14ac:dyDescent="0.25">
      <c r="B430"/>
      <c r="C430"/>
    </row>
    <row r="431" spans="2:3" x14ac:dyDescent="0.25">
      <c r="B431"/>
      <c r="C431"/>
    </row>
    <row r="432" spans="2:3" x14ac:dyDescent="0.25">
      <c r="B432"/>
      <c r="C432"/>
    </row>
    <row r="433" spans="2:3" x14ac:dyDescent="0.25">
      <c r="B433"/>
      <c r="C433"/>
    </row>
    <row r="434" spans="2:3" x14ac:dyDescent="0.25">
      <c r="B434"/>
      <c r="C434"/>
    </row>
    <row r="435" spans="2:3" x14ac:dyDescent="0.25">
      <c r="B435"/>
      <c r="C435"/>
    </row>
    <row r="436" spans="2:3" x14ac:dyDescent="0.25">
      <c r="B436"/>
      <c r="C436"/>
    </row>
    <row r="437" spans="2:3" x14ac:dyDescent="0.25">
      <c r="B437"/>
      <c r="C437"/>
    </row>
    <row r="438" spans="2:3" x14ac:dyDescent="0.25">
      <c r="B438"/>
      <c r="C438"/>
    </row>
    <row r="439" spans="2:3" x14ac:dyDescent="0.25">
      <c r="B439"/>
      <c r="C439"/>
    </row>
    <row r="440" spans="2:3" x14ac:dyDescent="0.25">
      <c r="B440"/>
      <c r="C440"/>
    </row>
    <row r="441" spans="2:3" x14ac:dyDescent="0.25">
      <c r="B441"/>
      <c r="C441"/>
    </row>
    <row r="442" spans="2:3" x14ac:dyDescent="0.25">
      <c r="B442"/>
      <c r="C442"/>
    </row>
    <row r="443" spans="2:3" x14ac:dyDescent="0.25">
      <c r="B443"/>
      <c r="C443"/>
    </row>
    <row r="444" spans="2:3" x14ac:dyDescent="0.25">
      <c r="B444"/>
      <c r="C444"/>
    </row>
    <row r="445" spans="2:3" x14ac:dyDescent="0.25">
      <c r="B445"/>
      <c r="C445"/>
    </row>
    <row r="446" spans="2:3" x14ac:dyDescent="0.25">
      <c r="B446"/>
      <c r="C446"/>
    </row>
    <row r="447" spans="2:3" x14ac:dyDescent="0.25">
      <c r="B447"/>
      <c r="C447"/>
    </row>
    <row r="448" spans="2:3" x14ac:dyDescent="0.25">
      <c r="B448"/>
      <c r="C448"/>
    </row>
    <row r="449" spans="2:3" x14ac:dyDescent="0.25">
      <c r="B449"/>
      <c r="C449"/>
    </row>
    <row r="450" spans="2:3" x14ac:dyDescent="0.25">
      <c r="B450"/>
      <c r="C450"/>
    </row>
    <row r="451" spans="2:3" x14ac:dyDescent="0.25">
      <c r="B451"/>
      <c r="C451"/>
    </row>
    <row r="452" spans="2:3" x14ac:dyDescent="0.25">
      <c r="B452"/>
      <c r="C452"/>
    </row>
    <row r="453" spans="2:3" x14ac:dyDescent="0.25">
      <c r="B453"/>
      <c r="C453"/>
    </row>
    <row r="454" spans="2:3" x14ac:dyDescent="0.25">
      <c r="B454"/>
      <c r="C454"/>
    </row>
    <row r="455" spans="2:3" x14ac:dyDescent="0.25">
      <c r="B455"/>
      <c r="C455"/>
    </row>
    <row r="456" spans="2:3" x14ac:dyDescent="0.25">
      <c r="B456"/>
      <c r="C456"/>
    </row>
    <row r="457" spans="2:3" x14ac:dyDescent="0.25">
      <c r="B457"/>
      <c r="C457"/>
    </row>
    <row r="458" spans="2:3" x14ac:dyDescent="0.25">
      <c r="B458"/>
      <c r="C458"/>
    </row>
    <row r="459" spans="2:3" x14ac:dyDescent="0.25">
      <c r="B459"/>
      <c r="C459"/>
    </row>
    <row r="460" spans="2:3" x14ac:dyDescent="0.25">
      <c r="B460"/>
      <c r="C460"/>
    </row>
    <row r="461" spans="2:3" x14ac:dyDescent="0.25">
      <c r="B461"/>
      <c r="C461"/>
    </row>
    <row r="462" spans="2:3" x14ac:dyDescent="0.25">
      <c r="B462"/>
      <c r="C462"/>
    </row>
    <row r="463" spans="2:3" x14ac:dyDescent="0.25">
      <c r="B463"/>
      <c r="C463"/>
    </row>
    <row r="464" spans="2:3" x14ac:dyDescent="0.25">
      <c r="B464"/>
      <c r="C464"/>
    </row>
    <row r="465" spans="2:3" x14ac:dyDescent="0.25">
      <c r="B465"/>
      <c r="C465"/>
    </row>
    <row r="466" spans="2:3" x14ac:dyDescent="0.25">
      <c r="B466"/>
      <c r="C466"/>
    </row>
    <row r="467" spans="2:3" x14ac:dyDescent="0.25">
      <c r="B467"/>
      <c r="C467"/>
    </row>
    <row r="468" spans="2:3" x14ac:dyDescent="0.25">
      <c r="B468"/>
      <c r="C468"/>
    </row>
    <row r="469" spans="2:3" x14ac:dyDescent="0.25">
      <c r="B469"/>
      <c r="C469"/>
    </row>
    <row r="470" spans="2:3" x14ac:dyDescent="0.25">
      <c r="B470"/>
      <c r="C470"/>
    </row>
    <row r="471" spans="2:3" x14ac:dyDescent="0.25">
      <c r="B471"/>
      <c r="C471"/>
    </row>
    <row r="472" spans="2:3" x14ac:dyDescent="0.25">
      <c r="B472"/>
      <c r="C472"/>
    </row>
    <row r="473" spans="2:3" x14ac:dyDescent="0.25">
      <c r="B473"/>
      <c r="C473"/>
    </row>
    <row r="474" spans="2:3" x14ac:dyDescent="0.25">
      <c r="B474"/>
      <c r="C474"/>
    </row>
    <row r="475" spans="2:3" x14ac:dyDescent="0.25">
      <c r="B475"/>
      <c r="C475"/>
    </row>
    <row r="476" spans="2:3" x14ac:dyDescent="0.25">
      <c r="B476"/>
      <c r="C476"/>
    </row>
    <row r="477" spans="2:3" x14ac:dyDescent="0.25">
      <c r="B477"/>
      <c r="C477"/>
    </row>
    <row r="478" spans="2:3" x14ac:dyDescent="0.25">
      <c r="B478"/>
      <c r="C478"/>
    </row>
    <row r="479" spans="2:3" x14ac:dyDescent="0.25">
      <c r="B479"/>
      <c r="C479"/>
    </row>
    <row r="480" spans="2:3" x14ac:dyDescent="0.25">
      <c r="B480"/>
      <c r="C480"/>
    </row>
    <row r="481" spans="2:3" x14ac:dyDescent="0.25">
      <c r="B481"/>
      <c r="C481"/>
    </row>
    <row r="482" spans="2:3" x14ac:dyDescent="0.25">
      <c r="B482"/>
      <c r="C482"/>
    </row>
    <row r="483" spans="2:3" x14ac:dyDescent="0.25">
      <c r="B483"/>
      <c r="C483"/>
    </row>
    <row r="484" spans="2:3" x14ac:dyDescent="0.25">
      <c r="B484"/>
      <c r="C484"/>
    </row>
    <row r="485" spans="2:3" x14ac:dyDescent="0.25">
      <c r="B485"/>
      <c r="C485"/>
    </row>
    <row r="486" spans="2:3" x14ac:dyDescent="0.25">
      <c r="B486"/>
      <c r="C486"/>
    </row>
    <row r="487" spans="2:3" x14ac:dyDescent="0.25">
      <c r="B487"/>
      <c r="C487"/>
    </row>
    <row r="488" spans="2:3" x14ac:dyDescent="0.25">
      <c r="B488"/>
      <c r="C488"/>
    </row>
    <row r="489" spans="2:3" x14ac:dyDescent="0.25">
      <c r="B489"/>
      <c r="C489"/>
    </row>
    <row r="490" spans="2:3" x14ac:dyDescent="0.25">
      <c r="B490"/>
      <c r="C490"/>
    </row>
    <row r="491" spans="2:3" x14ac:dyDescent="0.25">
      <c r="B491"/>
      <c r="C491"/>
    </row>
    <row r="492" spans="2:3" x14ac:dyDescent="0.25">
      <c r="B492"/>
      <c r="C492"/>
    </row>
    <row r="493" spans="2:3" x14ac:dyDescent="0.25">
      <c r="B493"/>
      <c r="C493"/>
    </row>
    <row r="494" spans="2:3" x14ac:dyDescent="0.25">
      <c r="B494"/>
      <c r="C494"/>
    </row>
    <row r="495" spans="2:3" x14ac:dyDescent="0.25">
      <c r="B495"/>
      <c r="C495"/>
    </row>
    <row r="496" spans="2:3" x14ac:dyDescent="0.25">
      <c r="B496"/>
      <c r="C496"/>
    </row>
    <row r="497" spans="2:3" x14ac:dyDescent="0.25">
      <c r="B497"/>
      <c r="C497"/>
    </row>
    <row r="498" spans="2:3" x14ac:dyDescent="0.25">
      <c r="B498"/>
      <c r="C498"/>
    </row>
    <row r="499" spans="2:3" x14ac:dyDescent="0.25">
      <c r="B499"/>
      <c r="C499"/>
    </row>
    <row r="500" spans="2:3" x14ac:dyDescent="0.25">
      <c r="B500"/>
      <c r="C500"/>
    </row>
    <row r="501" spans="2:3" x14ac:dyDescent="0.25">
      <c r="B501"/>
      <c r="C501"/>
    </row>
    <row r="502" spans="2:3" x14ac:dyDescent="0.25">
      <c r="B502"/>
      <c r="C502"/>
    </row>
    <row r="503" spans="2:3" x14ac:dyDescent="0.25">
      <c r="B503"/>
      <c r="C503"/>
    </row>
    <row r="504" spans="2:3" x14ac:dyDescent="0.25">
      <c r="B504"/>
      <c r="C504"/>
    </row>
    <row r="505" spans="2:3" x14ac:dyDescent="0.25">
      <c r="B505"/>
      <c r="C505"/>
    </row>
    <row r="506" spans="2:3" x14ac:dyDescent="0.25">
      <c r="B506"/>
      <c r="C506"/>
    </row>
    <row r="507" spans="2:3" x14ac:dyDescent="0.25">
      <c r="B507"/>
      <c r="C507"/>
    </row>
    <row r="508" spans="2:3" x14ac:dyDescent="0.25">
      <c r="B508"/>
      <c r="C508"/>
    </row>
    <row r="509" spans="2:3" x14ac:dyDescent="0.25">
      <c r="B509"/>
      <c r="C509"/>
    </row>
    <row r="510" spans="2:3" x14ac:dyDescent="0.25">
      <c r="B510"/>
      <c r="C510"/>
    </row>
    <row r="511" spans="2:3" x14ac:dyDescent="0.25">
      <c r="B511"/>
      <c r="C511"/>
    </row>
    <row r="512" spans="2:3" x14ac:dyDescent="0.25">
      <c r="B512"/>
      <c r="C512"/>
    </row>
    <row r="513" spans="2:3" x14ac:dyDescent="0.25">
      <c r="B513"/>
      <c r="C513"/>
    </row>
    <row r="514" spans="2:3" x14ac:dyDescent="0.25">
      <c r="B514"/>
      <c r="C514"/>
    </row>
    <row r="515" spans="2:3" x14ac:dyDescent="0.25">
      <c r="B515"/>
      <c r="C515"/>
    </row>
    <row r="516" spans="2:3" x14ac:dyDescent="0.25">
      <c r="B516"/>
      <c r="C516"/>
    </row>
    <row r="517" spans="2:3" x14ac:dyDescent="0.25">
      <c r="B517"/>
      <c r="C517"/>
    </row>
    <row r="518" spans="2:3" x14ac:dyDescent="0.25">
      <c r="B518"/>
      <c r="C518"/>
    </row>
    <row r="519" spans="2:3" x14ac:dyDescent="0.25">
      <c r="B519"/>
      <c r="C519"/>
    </row>
    <row r="520" spans="2:3" x14ac:dyDescent="0.25">
      <c r="B520"/>
      <c r="C520"/>
    </row>
    <row r="521" spans="2:3" x14ac:dyDescent="0.25">
      <c r="B521"/>
      <c r="C521"/>
    </row>
    <row r="522" spans="2:3" x14ac:dyDescent="0.25">
      <c r="B522"/>
      <c r="C522"/>
    </row>
    <row r="523" spans="2:3" x14ac:dyDescent="0.25">
      <c r="B523"/>
      <c r="C523"/>
    </row>
    <row r="524" spans="2:3" x14ac:dyDescent="0.25">
      <c r="B524"/>
      <c r="C524"/>
    </row>
    <row r="525" spans="2:3" x14ac:dyDescent="0.25">
      <c r="B525"/>
      <c r="C525"/>
    </row>
    <row r="526" spans="2:3" x14ac:dyDescent="0.25">
      <c r="B526"/>
      <c r="C526"/>
    </row>
    <row r="527" spans="2:3" x14ac:dyDescent="0.25">
      <c r="B527"/>
      <c r="C527"/>
    </row>
    <row r="528" spans="2:3" x14ac:dyDescent="0.25">
      <c r="B528"/>
      <c r="C528"/>
    </row>
    <row r="529" spans="2:3" x14ac:dyDescent="0.25">
      <c r="B529"/>
      <c r="C529"/>
    </row>
    <row r="530" spans="2:3" x14ac:dyDescent="0.25">
      <c r="B530"/>
      <c r="C530"/>
    </row>
    <row r="531" spans="2:3" x14ac:dyDescent="0.25">
      <c r="B531"/>
      <c r="C531"/>
    </row>
    <row r="532" spans="2:3" x14ac:dyDescent="0.25">
      <c r="B532"/>
      <c r="C532"/>
    </row>
    <row r="533" spans="2:3" x14ac:dyDescent="0.25">
      <c r="B533"/>
      <c r="C533"/>
    </row>
    <row r="534" spans="2:3" x14ac:dyDescent="0.25">
      <c r="B534"/>
      <c r="C534"/>
    </row>
    <row r="535" spans="2:3" x14ac:dyDescent="0.25">
      <c r="B535"/>
      <c r="C535"/>
    </row>
    <row r="536" spans="2:3" x14ac:dyDescent="0.25">
      <c r="B536"/>
      <c r="C536"/>
    </row>
    <row r="537" spans="2:3" x14ac:dyDescent="0.25">
      <c r="B537"/>
      <c r="C537"/>
    </row>
    <row r="538" spans="2:3" x14ac:dyDescent="0.25">
      <c r="B538"/>
      <c r="C538"/>
    </row>
    <row r="539" spans="2:3" x14ac:dyDescent="0.25">
      <c r="B539"/>
      <c r="C539"/>
    </row>
    <row r="540" spans="2:3" x14ac:dyDescent="0.25">
      <c r="B540"/>
      <c r="C540"/>
    </row>
    <row r="541" spans="2:3" x14ac:dyDescent="0.25">
      <c r="B541"/>
      <c r="C541"/>
    </row>
    <row r="542" spans="2:3" x14ac:dyDescent="0.25">
      <c r="B542"/>
      <c r="C542"/>
    </row>
    <row r="543" spans="2:3" x14ac:dyDescent="0.25">
      <c r="B543"/>
      <c r="C543"/>
    </row>
    <row r="544" spans="2:3" x14ac:dyDescent="0.25">
      <c r="B544"/>
      <c r="C544"/>
    </row>
    <row r="545" spans="2:3" x14ac:dyDescent="0.25">
      <c r="B545"/>
      <c r="C545"/>
    </row>
    <row r="546" spans="2:3" x14ac:dyDescent="0.25">
      <c r="B546"/>
      <c r="C546"/>
    </row>
    <row r="547" spans="2:3" x14ac:dyDescent="0.25">
      <c r="B547"/>
      <c r="C547"/>
    </row>
    <row r="548" spans="2:3" x14ac:dyDescent="0.25">
      <c r="B548"/>
      <c r="C548"/>
    </row>
    <row r="549" spans="2:3" x14ac:dyDescent="0.25">
      <c r="B549"/>
      <c r="C549"/>
    </row>
    <row r="550" spans="2:3" x14ac:dyDescent="0.25">
      <c r="B550"/>
      <c r="C550"/>
    </row>
    <row r="551" spans="2:3" x14ac:dyDescent="0.25">
      <c r="B551"/>
      <c r="C551"/>
    </row>
    <row r="552" spans="2:3" x14ac:dyDescent="0.25">
      <c r="B552"/>
      <c r="C552"/>
    </row>
    <row r="553" spans="2:3" x14ac:dyDescent="0.25">
      <c r="B553"/>
      <c r="C553"/>
    </row>
    <row r="554" spans="2:3" x14ac:dyDescent="0.25">
      <c r="B554"/>
      <c r="C554"/>
    </row>
    <row r="555" spans="2:3" x14ac:dyDescent="0.25">
      <c r="B555"/>
      <c r="C555"/>
    </row>
    <row r="556" spans="2:3" x14ac:dyDescent="0.25">
      <c r="B556"/>
      <c r="C556"/>
    </row>
    <row r="557" spans="2:3" x14ac:dyDescent="0.25">
      <c r="B557"/>
      <c r="C557"/>
    </row>
    <row r="558" spans="2:3" x14ac:dyDescent="0.25">
      <c r="B558"/>
      <c r="C558"/>
    </row>
    <row r="559" spans="2:3" x14ac:dyDescent="0.25">
      <c r="B559"/>
      <c r="C559"/>
    </row>
    <row r="560" spans="2:3" x14ac:dyDescent="0.25">
      <c r="B560"/>
      <c r="C560"/>
    </row>
    <row r="561" spans="2:3" x14ac:dyDescent="0.25">
      <c r="B561"/>
      <c r="C561"/>
    </row>
    <row r="562" spans="2:3" x14ac:dyDescent="0.25">
      <c r="B562"/>
      <c r="C562"/>
    </row>
    <row r="563" spans="2:3" x14ac:dyDescent="0.25">
      <c r="B563"/>
      <c r="C563"/>
    </row>
    <row r="564" spans="2:3" x14ac:dyDescent="0.25">
      <c r="B564"/>
      <c r="C564"/>
    </row>
    <row r="565" spans="2:3" x14ac:dyDescent="0.25">
      <c r="B565"/>
      <c r="C565"/>
    </row>
    <row r="566" spans="2:3" x14ac:dyDescent="0.25">
      <c r="B566"/>
      <c r="C566"/>
    </row>
    <row r="567" spans="2:3" x14ac:dyDescent="0.25">
      <c r="B567"/>
      <c r="C567"/>
    </row>
    <row r="568" spans="2:3" x14ac:dyDescent="0.25">
      <c r="B568"/>
      <c r="C568"/>
    </row>
    <row r="569" spans="2:3" x14ac:dyDescent="0.25">
      <c r="B569"/>
      <c r="C569"/>
    </row>
    <row r="570" spans="2:3" x14ac:dyDescent="0.25">
      <c r="B570"/>
      <c r="C570"/>
    </row>
    <row r="571" spans="2:3" x14ac:dyDescent="0.25">
      <c r="B571"/>
      <c r="C571"/>
    </row>
    <row r="572" spans="2:3" x14ac:dyDescent="0.25">
      <c r="B572"/>
      <c r="C572"/>
    </row>
    <row r="573" spans="2:3" x14ac:dyDescent="0.25">
      <c r="B573"/>
      <c r="C573"/>
    </row>
    <row r="574" spans="2:3" x14ac:dyDescent="0.25">
      <c r="B574"/>
      <c r="C574"/>
    </row>
    <row r="575" spans="2:3" x14ac:dyDescent="0.25">
      <c r="B575"/>
      <c r="C575"/>
    </row>
    <row r="576" spans="2:3" x14ac:dyDescent="0.25">
      <c r="B576"/>
      <c r="C576"/>
    </row>
    <row r="577" spans="2:3" x14ac:dyDescent="0.25">
      <c r="B577"/>
      <c r="C577"/>
    </row>
    <row r="578" spans="2:3" x14ac:dyDescent="0.25">
      <c r="B578"/>
      <c r="C578"/>
    </row>
    <row r="579" spans="2:3" x14ac:dyDescent="0.25">
      <c r="B579"/>
      <c r="C579"/>
    </row>
    <row r="580" spans="2:3" x14ac:dyDescent="0.25">
      <c r="B580"/>
      <c r="C580"/>
    </row>
    <row r="581" spans="2:3" x14ac:dyDescent="0.25">
      <c r="B581"/>
      <c r="C581"/>
    </row>
    <row r="582" spans="2:3" x14ac:dyDescent="0.25">
      <c r="B582"/>
      <c r="C582"/>
    </row>
    <row r="583" spans="2:3" x14ac:dyDescent="0.25">
      <c r="B583"/>
      <c r="C583"/>
    </row>
    <row r="584" spans="2:3" x14ac:dyDescent="0.25">
      <c r="B584"/>
      <c r="C584"/>
    </row>
    <row r="585" spans="2:3" x14ac:dyDescent="0.25">
      <c r="B585"/>
      <c r="C585"/>
    </row>
    <row r="586" spans="2:3" x14ac:dyDescent="0.25">
      <c r="B586"/>
      <c r="C586"/>
    </row>
    <row r="587" spans="2:3" x14ac:dyDescent="0.25">
      <c r="B587"/>
      <c r="C587"/>
    </row>
    <row r="588" spans="2:3" x14ac:dyDescent="0.25">
      <c r="B588"/>
      <c r="C588"/>
    </row>
    <row r="589" spans="2:3" x14ac:dyDescent="0.25">
      <c r="B589"/>
      <c r="C589"/>
    </row>
    <row r="590" spans="2:3" x14ac:dyDescent="0.25">
      <c r="B590"/>
      <c r="C590"/>
    </row>
    <row r="591" spans="2:3" x14ac:dyDescent="0.25">
      <c r="B591"/>
      <c r="C591"/>
    </row>
    <row r="592" spans="2:3" x14ac:dyDescent="0.25">
      <c r="B592"/>
      <c r="C592"/>
    </row>
    <row r="593" spans="2:3" x14ac:dyDescent="0.25">
      <c r="B593"/>
      <c r="C593"/>
    </row>
    <row r="594" spans="2:3" x14ac:dyDescent="0.25">
      <c r="B594"/>
      <c r="C594"/>
    </row>
    <row r="595" spans="2:3" x14ac:dyDescent="0.25">
      <c r="B595"/>
      <c r="C595"/>
    </row>
    <row r="596" spans="2:3" x14ac:dyDescent="0.25">
      <c r="B596"/>
      <c r="C596"/>
    </row>
    <row r="597" spans="2:3" x14ac:dyDescent="0.25">
      <c r="B597"/>
      <c r="C597"/>
    </row>
    <row r="598" spans="2:3" x14ac:dyDescent="0.25">
      <c r="B598"/>
      <c r="C598"/>
    </row>
    <row r="599" spans="2:3" x14ac:dyDescent="0.25">
      <c r="B599"/>
      <c r="C599"/>
    </row>
    <row r="600" spans="2:3" x14ac:dyDescent="0.25">
      <c r="B600"/>
      <c r="C600"/>
    </row>
    <row r="601" spans="2:3" x14ac:dyDescent="0.25">
      <c r="B601"/>
      <c r="C601"/>
    </row>
    <row r="602" spans="2:3" x14ac:dyDescent="0.25">
      <c r="B602"/>
      <c r="C602"/>
    </row>
    <row r="603" spans="2:3" x14ac:dyDescent="0.25">
      <c r="B603"/>
      <c r="C603"/>
    </row>
    <row r="604" spans="2:3" x14ac:dyDescent="0.25">
      <c r="B604"/>
      <c r="C604"/>
    </row>
    <row r="605" spans="2:3" x14ac:dyDescent="0.25">
      <c r="B605"/>
      <c r="C605"/>
    </row>
    <row r="606" spans="2:3" x14ac:dyDescent="0.25">
      <c r="B606"/>
      <c r="C606"/>
    </row>
    <row r="607" spans="2:3" x14ac:dyDescent="0.25">
      <c r="B607"/>
      <c r="C607"/>
    </row>
    <row r="608" spans="2:3" x14ac:dyDescent="0.25">
      <c r="B608"/>
      <c r="C608"/>
    </row>
    <row r="609" spans="2:3" x14ac:dyDescent="0.25">
      <c r="B609"/>
      <c r="C609"/>
    </row>
    <row r="610" spans="2:3" x14ac:dyDescent="0.25">
      <c r="B610"/>
      <c r="C610"/>
    </row>
    <row r="611" spans="2:3" x14ac:dyDescent="0.25">
      <c r="B611"/>
      <c r="C611"/>
    </row>
    <row r="612" spans="2:3" x14ac:dyDescent="0.25">
      <c r="B612"/>
      <c r="C612"/>
    </row>
    <row r="613" spans="2:3" x14ac:dyDescent="0.25">
      <c r="B613"/>
      <c r="C613"/>
    </row>
    <row r="614" spans="2:3" x14ac:dyDescent="0.25">
      <c r="B614"/>
      <c r="C614"/>
    </row>
    <row r="615" spans="2:3" x14ac:dyDescent="0.25">
      <c r="B615"/>
      <c r="C615"/>
    </row>
    <row r="616" spans="2:3" x14ac:dyDescent="0.25">
      <c r="B616"/>
      <c r="C616"/>
    </row>
    <row r="617" spans="2:3" x14ac:dyDescent="0.25">
      <c r="B617"/>
      <c r="C617"/>
    </row>
    <row r="618" spans="2:3" x14ac:dyDescent="0.25">
      <c r="B618"/>
      <c r="C618"/>
    </row>
    <row r="619" spans="2:3" x14ac:dyDescent="0.25">
      <c r="B619"/>
      <c r="C619"/>
    </row>
    <row r="620" spans="2:3" x14ac:dyDescent="0.25">
      <c r="B620"/>
      <c r="C620"/>
    </row>
    <row r="621" spans="2:3" x14ac:dyDescent="0.25">
      <c r="B621"/>
      <c r="C621"/>
    </row>
    <row r="622" spans="2:3" x14ac:dyDescent="0.25">
      <c r="B622"/>
      <c r="C622"/>
    </row>
    <row r="623" spans="2:3" x14ac:dyDescent="0.25">
      <c r="B623"/>
      <c r="C623"/>
    </row>
    <row r="624" spans="2:3" x14ac:dyDescent="0.25">
      <c r="B624"/>
      <c r="C624"/>
    </row>
    <row r="625" spans="2:3" x14ac:dyDescent="0.25">
      <c r="B625"/>
      <c r="C625"/>
    </row>
    <row r="626" spans="2:3" x14ac:dyDescent="0.25">
      <c r="B626"/>
      <c r="C626"/>
    </row>
    <row r="627" spans="2:3" x14ac:dyDescent="0.25">
      <c r="B627"/>
      <c r="C627"/>
    </row>
    <row r="628" spans="2:3" x14ac:dyDescent="0.25">
      <c r="B628"/>
      <c r="C628"/>
    </row>
    <row r="629" spans="2:3" x14ac:dyDescent="0.25">
      <c r="B629"/>
      <c r="C629"/>
    </row>
    <row r="630" spans="2:3" x14ac:dyDescent="0.25">
      <c r="B630"/>
      <c r="C630"/>
    </row>
    <row r="631" spans="2:3" x14ac:dyDescent="0.25">
      <c r="B631"/>
      <c r="C631"/>
    </row>
    <row r="632" spans="2:3" x14ac:dyDescent="0.25">
      <c r="B632"/>
      <c r="C632"/>
    </row>
    <row r="633" spans="2:3" x14ac:dyDescent="0.25">
      <c r="B633"/>
      <c r="C633"/>
    </row>
    <row r="634" spans="2:3" x14ac:dyDescent="0.25">
      <c r="B634"/>
      <c r="C634"/>
    </row>
    <row r="635" spans="2:3" x14ac:dyDescent="0.25">
      <c r="B635"/>
      <c r="C635"/>
    </row>
    <row r="636" spans="2:3" x14ac:dyDescent="0.25">
      <c r="B636"/>
      <c r="C636"/>
    </row>
    <row r="637" spans="2:3" x14ac:dyDescent="0.25">
      <c r="B637"/>
      <c r="C637"/>
    </row>
    <row r="638" spans="2:3" x14ac:dyDescent="0.25">
      <c r="B638"/>
      <c r="C638"/>
    </row>
    <row r="639" spans="2:3" x14ac:dyDescent="0.25">
      <c r="B639"/>
      <c r="C639"/>
    </row>
    <row r="640" spans="2:3" x14ac:dyDescent="0.25">
      <c r="B640"/>
      <c r="C640"/>
    </row>
    <row r="641" spans="2:3" x14ac:dyDescent="0.25">
      <c r="B641"/>
      <c r="C641"/>
    </row>
    <row r="642" spans="2:3" x14ac:dyDescent="0.25">
      <c r="B642"/>
      <c r="C642"/>
    </row>
    <row r="643" spans="2:3" x14ac:dyDescent="0.25">
      <c r="B643"/>
      <c r="C643"/>
    </row>
    <row r="644" spans="2:3" x14ac:dyDescent="0.25">
      <c r="B644"/>
      <c r="C644"/>
    </row>
    <row r="645" spans="2:3" x14ac:dyDescent="0.25">
      <c r="B645"/>
      <c r="C645"/>
    </row>
    <row r="646" spans="2:3" x14ac:dyDescent="0.25">
      <c r="B646"/>
      <c r="C646"/>
    </row>
    <row r="647" spans="2:3" x14ac:dyDescent="0.25">
      <c r="B647"/>
      <c r="C647"/>
    </row>
    <row r="648" spans="2:3" x14ac:dyDescent="0.25">
      <c r="B648"/>
      <c r="C648"/>
    </row>
    <row r="649" spans="2:3" x14ac:dyDescent="0.25">
      <c r="B649"/>
      <c r="C649"/>
    </row>
    <row r="650" spans="2:3" x14ac:dyDescent="0.25">
      <c r="B650"/>
      <c r="C650"/>
    </row>
    <row r="651" spans="2:3" x14ac:dyDescent="0.25">
      <c r="B651"/>
      <c r="C651"/>
    </row>
    <row r="652" spans="2:3" x14ac:dyDescent="0.25">
      <c r="B652"/>
      <c r="C652"/>
    </row>
    <row r="653" spans="2:3" x14ac:dyDescent="0.25">
      <c r="B653"/>
      <c r="C653"/>
    </row>
    <row r="654" spans="2:3" x14ac:dyDescent="0.25">
      <c r="B654"/>
      <c r="C654"/>
    </row>
    <row r="655" spans="2:3" x14ac:dyDescent="0.25">
      <c r="B655"/>
      <c r="C655"/>
    </row>
    <row r="656" spans="2:3" x14ac:dyDescent="0.25">
      <c r="B656"/>
      <c r="C656"/>
    </row>
    <row r="657" spans="2:3" x14ac:dyDescent="0.25">
      <c r="B657"/>
      <c r="C657"/>
    </row>
    <row r="658" spans="2:3" x14ac:dyDescent="0.25">
      <c r="B658"/>
      <c r="C658"/>
    </row>
    <row r="659" spans="2:3" x14ac:dyDescent="0.25">
      <c r="B659"/>
      <c r="C659"/>
    </row>
    <row r="660" spans="2:3" x14ac:dyDescent="0.25">
      <c r="B660"/>
      <c r="C660"/>
    </row>
    <row r="661" spans="2:3" x14ac:dyDescent="0.25">
      <c r="B661"/>
      <c r="C661"/>
    </row>
    <row r="662" spans="2:3" x14ac:dyDescent="0.25">
      <c r="B662"/>
      <c r="C662"/>
    </row>
    <row r="663" spans="2:3" x14ac:dyDescent="0.25">
      <c r="B663"/>
      <c r="C663"/>
    </row>
    <row r="664" spans="2:3" x14ac:dyDescent="0.25">
      <c r="B664"/>
      <c r="C664"/>
    </row>
    <row r="665" spans="2:3" x14ac:dyDescent="0.25">
      <c r="B665"/>
      <c r="C665"/>
    </row>
    <row r="666" spans="2:3" x14ac:dyDescent="0.25">
      <c r="B666"/>
      <c r="C666"/>
    </row>
    <row r="667" spans="2:3" x14ac:dyDescent="0.25">
      <c r="B667"/>
      <c r="C667"/>
    </row>
    <row r="668" spans="2:3" x14ac:dyDescent="0.25">
      <c r="B668"/>
      <c r="C668"/>
    </row>
    <row r="669" spans="2:3" x14ac:dyDescent="0.25">
      <c r="B669"/>
      <c r="C669"/>
    </row>
    <row r="670" spans="2:3" x14ac:dyDescent="0.25">
      <c r="B670"/>
      <c r="C670"/>
    </row>
    <row r="671" spans="2:3" x14ac:dyDescent="0.25">
      <c r="B671"/>
      <c r="C671"/>
    </row>
    <row r="672" spans="2:3" x14ac:dyDescent="0.25">
      <c r="B672"/>
      <c r="C672"/>
    </row>
    <row r="673" spans="2:3" x14ac:dyDescent="0.25">
      <c r="B673"/>
      <c r="C673"/>
    </row>
    <row r="674" spans="2:3" x14ac:dyDescent="0.25">
      <c r="B674"/>
      <c r="C674"/>
    </row>
    <row r="675" spans="2:3" x14ac:dyDescent="0.25">
      <c r="B675"/>
      <c r="C675"/>
    </row>
    <row r="676" spans="2:3" x14ac:dyDescent="0.25">
      <c r="B676"/>
      <c r="C676"/>
    </row>
    <row r="677" spans="2:3" x14ac:dyDescent="0.25">
      <c r="B677"/>
      <c r="C677"/>
    </row>
    <row r="678" spans="2:3" x14ac:dyDescent="0.25">
      <c r="B678"/>
      <c r="C678"/>
    </row>
    <row r="679" spans="2:3" x14ac:dyDescent="0.25">
      <c r="B679"/>
      <c r="C679"/>
    </row>
    <row r="680" spans="2:3" x14ac:dyDescent="0.25">
      <c r="B680"/>
      <c r="C680"/>
    </row>
    <row r="681" spans="2:3" x14ac:dyDescent="0.25">
      <c r="B681"/>
      <c r="C681"/>
    </row>
    <row r="682" spans="2:3" x14ac:dyDescent="0.25">
      <c r="B682"/>
      <c r="C682"/>
    </row>
    <row r="683" spans="2:3" x14ac:dyDescent="0.25">
      <c r="B683"/>
      <c r="C683"/>
    </row>
    <row r="684" spans="2:3" x14ac:dyDescent="0.25">
      <c r="B684"/>
      <c r="C684"/>
    </row>
    <row r="685" spans="2:3" x14ac:dyDescent="0.25">
      <c r="B685"/>
      <c r="C685"/>
    </row>
    <row r="686" spans="2:3" x14ac:dyDescent="0.25">
      <c r="B686"/>
      <c r="C686"/>
    </row>
    <row r="687" spans="2:3" x14ac:dyDescent="0.25">
      <c r="B687"/>
      <c r="C687"/>
    </row>
    <row r="688" spans="2:3" x14ac:dyDescent="0.25">
      <c r="B688"/>
      <c r="C688"/>
    </row>
    <row r="689" spans="2:3" x14ac:dyDescent="0.25">
      <c r="B689"/>
      <c r="C689"/>
    </row>
    <row r="690" spans="2:3" x14ac:dyDescent="0.25">
      <c r="B690"/>
      <c r="C690"/>
    </row>
    <row r="691" spans="2:3" x14ac:dyDescent="0.25">
      <c r="B691"/>
      <c r="C691"/>
    </row>
    <row r="692" spans="2:3" x14ac:dyDescent="0.25">
      <c r="B692"/>
      <c r="C692"/>
    </row>
    <row r="693" spans="2:3" x14ac:dyDescent="0.25">
      <c r="B693"/>
      <c r="C693"/>
    </row>
    <row r="694" spans="2:3" x14ac:dyDescent="0.25">
      <c r="B694"/>
      <c r="C694"/>
    </row>
    <row r="695" spans="2:3" x14ac:dyDescent="0.25">
      <c r="B695"/>
      <c r="C695"/>
    </row>
    <row r="696" spans="2:3" x14ac:dyDescent="0.25">
      <c r="B696"/>
      <c r="C696"/>
    </row>
    <row r="697" spans="2:3" x14ac:dyDescent="0.25">
      <c r="B697"/>
      <c r="C697"/>
    </row>
    <row r="698" spans="2:3" x14ac:dyDescent="0.25">
      <c r="B698"/>
      <c r="C698"/>
    </row>
    <row r="699" spans="2:3" x14ac:dyDescent="0.25">
      <c r="B699"/>
      <c r="C699"/>
    </row>
    <row r="700" spans="2:3" x14ac:dyDescent="0.25">
      <c r="B700"/>
      <c r="C700"/>
    </row>
    <row r="701" spans="2:3" x14ac:dyDescent="0.25">
      <c r="B701"/>
      <c r="C701"/>
    </row>
    <row r="702" spans="2:3" x14ac:dyDescent="0.25">
      <c r="B702"/>
      <c r="C702"/>
    </row>
    <row r="703" spans="2:3" x14ac:dyDescent="0.25">
      <c r="B703"/>
      <c r="C703"/>
    </row>
    <row r="704" spans="2:3" x14ac:dyDescent="0.25">
      <c r="B704"/>
      <c r="C704"/>
    </row>
    <row r="705" spans="2:3" x14ac:dyDescent="0.25">
      <c r="B705"/>
      <c r="C705"/>
    </row>
    <row r="706" spans="2:3" x14ac:dyDescent="0.25">
      <c r="B706"/>
      <c r="C706"/>
    </row>
    <row r="707" spans="2:3" x14ac:dyDescent="0.25">
      <c r="B707"/>
      <c r="C707"/>
    </row>
    <row r="708" spans="2:3" x14ac:dyDescent="0.25">
      <c r="B708"/>
      <c r="C708"/>
    </row>
    <row r="709" spans="2:3" x14ac:dyDescent="0.25">
      <c r="B709"/>
      <c r="C709"/>
    </row>
    <row r="710" spans="2:3" x14ac:dyDescent="0.25">
      <c r="B710"/>
      <c r="C710"/>
    </row>
    <row r="711" spans="2:3" x14ac:dyDescent="0.25">
      <c r="B711"/>
      <c r="C711"/>
    </row>
    <row r="712" spans="2:3" x14ac:dyDescent="0.25">
      <c r="B712"/>
      <c r="C712"/>
    </row>
    <row r="713" spans="2:3" x14ac:dyDescent="0.25">
      <c r="B713"/>
      <c r="C713"/>
    </row>
    <row r="714" spans="2:3" x14ac:dyDescent="0.25">
      <c r="B714"/>
      <c r="C714"/>
    </row>
    <row r="715" spans="2:3" x14ac:dyDescent="0.25">
      <c r="B715"/>
      <c r="C715"/>
    </row>
    <row r="716" spans="2:3" x14ac:dyDescent="0.25">
      <c r="B716"/>
      <c r="C716"/>
    </row>
    <row r="717" spans="2:3" x14ac:dyDescent="0.25">
      <c r="B717"/>
      <c r="C717"/>
    </row>
    <row r="718" spans="2:3" x14ac:dyDescent="0.25">
      <c r="B718"/>
      <c r="C718"/>
    </row>
    <row r="719" spans="2:3" x14ac:dyDescent="0.25">
      <c r="B719"/>
      <c r="C719"/>
    </row>
    <row r="720" spans="2:3" x14ac:dyDescent="0.25">
      <c r="B720"/>
      <c r="C720"/>
    </row>
    <row r="721" spans="2:3" x14ac:dyDescent="0.25">
      <c r="B721"/>
      <c r="C721"/>
    </row>
    <row r="722" spans="2:3" x14ac:dyDescent="0.25">
      <c r="B722"/>
      <c r="C722"/>
    </row>
    <row r="723" spans="2:3" x14ac:dyDescent="0.25">
      <c r="B723"/>
      <c r="C723"/>
    </row>
    <row r="724" spans="2:3" x14ac:dyDescent="0.25">
      <c r="B724"/>
      <c r="C724"/>
    </row>
    <row r="725" spans="2:3" x14ac:dyDescent="0.25">
      <c r="B725"/>
      <c r="C725"/>
    </row>
    <row r="726" spans="2:3" x14ac:dyDescent="0.25">
      <c r="B726"/>
      <c r="C726"/>
    </row>
    <row r="727" spans="2:3" x14ac:dyDescent="0.25">
      <c r="B727"/>
      <c r="C727"/>
    </row>
    <row r="728" spans="2:3" x14ac:dyDescent="0.25">
      <c r="B728"/>
      <c r="C728"/>
    </row>
    <row r="729" spans="2:3" x14ac:dyDescent="0.25">
      <c r="B729"/>
      <c r="C729"/>
    </row>
    <row r="730" spans="2:3" x14ac:dyDescent="0.25">
      <c r="B730"/>
      <c r="C730"/>
    </row>
    <row r="731" spans="2:3" x14ac:dyDescent="0.25">
      <c r="B731"/>
      <c r="C731"/>
    </row>
    <row r="732" spans="2:3" x14ac:dyDescent="0.25">
      <c r="B732"/>
      <c r="C732"/>
    </row>
    <row r="733" spans="2:3" x14ac:dyDescent="0.25">
      <c r="B733"/>
      <c r="C733"/>
    </row>
    <row r="734" spans="2:3" x14ac:dyDescent="0.25">
      <c r="B734"/>
      <c r="C734"/>
    </row>
    <row r="735" spans="2:3" x14ac:dyDescent="0.25">
      <c r="B735"/>
      <c r="C735"/>
    </row>
    <row r="736" spans="2:3" x14ac:dyDescent="0.25">
      <c r="B736"/>
      <c r="C736"/>
    </row>
    <row r="737" spans="2:3" x14ac:dyDescent="0.25">
      <c r="B737"/>
      <c r="C737"/>
    </row>
    <row r="738" spans="2:3" x14ac:dyDescent="0.25">
      <c r="B738"/>
      <c r="C738"/>
    </row>
    <row r="739" spans="2:3" x14ac:dyDescent="0.25">
      <c r="B739"/>
      <c r="C739"/>
    </row>
    <row r="740" spans="2:3" x14ac:dyDescent="0.25">
      <c r="B740"/>
      <c r="C740"/>
    </row>
    <row r="741" spans="2:3" x14ac:dyDescent="0.25">
      <c r="B741"/>
      <c r="C741"/>
    </row>
    <row r="742" spans="2:3" x14ac:dyDescent="0.25">
      <c r="B742"/>
      <c r="C742"/>
    </row>
    <row r="743" spans="2:3" x14ac:dyDescent="0.25">
      <c r="B743"/>
      <c r="C743"/>
    </row>
    <row r="744" spans="2:3" x14ac:dyDescent="0.25">
      <c r="B744"/>
      <c r="C744"/>
    </row>
    <row r="745" spans="2:3" x14ac:dyDescent="0.25">
      <c r="B745"/>
      <c r="C745"/>
    </row>
    <row r="746" spans="2:3" x14ac:dyDescent="0.25">
      <c r="B746"/>
      <c r="C746"/>
    </row>
    <row r="747" spans="2:3" x14ac:dyDescent="0.25">
      <c r="B747"/>
      <c r="C747"/>
    </row>
    <row r="748" spans="2:3" x14ac:dyDescent="0.25">
      <c r="B748"/>
      <c r="C748"/>
    </row>
    <row r="749" spans="2:3" x14ac:dyDescent="0.25">
      <c r="B749"/>
      <c r="C749"/>
    </row>
    <row r="750" spans="2:3" x14ac:dyDescent="0.25">
      <c r="B750"/>
      <c r="C750"/>
    </row>
    <row r="751" spans="2:3" x14ac:dyDescent="0.25">
      <c r="B751"/>
      <c r="C751"/>
    </row>
    <row r="752" spans="2:3" x14ac:dyDescent="0.25">
      <c r="B752"/>
      <c r="C752"/>
    </row>
    <row r="753" spans="2:3" x14ac:dyDescent="0.25">
      <c r="B753"/>
      <c r="C753"/>
    </row>
    <row r="754" spans="2:3" x14ac:dyDescent="0.25">
      <c r="B754"/>
      <c r="C754"/>
    </row>
    <row r="755" spans="2:3" x14ac:dyDescent="0.25">
      <c r="B755"/>
      <c r="C755"/>
    </row>
    <row r="756" spans="2:3" x14ac:dyDescent="0.25">
      <c r="B756"/>
      <c r="C756"/>
    </row>
    <row r="757" spans="2:3" x14ac:dyDescent="0.25">
      <c r="B757"/>
      <c r="C757"/>
    </row>
    <row r="758" spans="2:3" x14ac:dyDescent="0.25">
      <c r="B758"/>
      <c r="C758"/>
    </row>
    <row r="759" spans="2:3" x14ac:dyDescent="0.25">
      <c r="B759"/>
      <c r="C759"/>
    </row>
    <row r="760" spans="2:3" x14ac:dyDescent="0.25">
      <c r="B760"/>
      <c r="C760"/>
    </row>
    <row r="761" spans="2:3" x14ac:dyDescent="0.25">
      <c r="B761"/>
      <c r="C761"/>
    </row>
    <row r="762" spans="2:3" x14ac:dyDescent="0.25">
      <c r="B762"/>
      <c r="C762"/>
    </row>
    <row r="763" spans="2:3" x14ac:dyDescent="0.25">
      <c r="B763"/>
      <c r="C763"/>
    </row>
    <row r="764" spans="2:3" x14ac:dyDescent="0.25">
      <c r="B764"/>
      <c r="C764"/>
    </row>
    <row r="765" spans="2:3" x14ac:dyDescent="0.25">
      <c r="B765"/>
      <c r="C765"/>
    </row>
    <row r="766" spans="2:3" x14ac:dyDescent="0.25">
      <c r="B766"/>
      <c r="C766"/>
    </row>
    <row r="767" spans="2:3" x14ac:dyDescent="0.25">
      <c r="B767"/>
      <c r="C767"/>
    </row>
    <row r="768" spans="2:3" x14ac:dyDescent="0.25">
      <c r="B768"/>
      <c r="C768"/>
    </row>
    <row r="769" spans="2:3" x14ac:dyDescent="0.25">
      <c r="B769"/>
      <c r="C769"/>
    </row>
    <row r="770" spans="2:3" x14ac:dyDescent="0.25">
      <c r="B770"/>
      <c r="C770"/>
    </row>
    <row r="771" spans="2:3" x14ac:dyDescent="0.25">
      <c r="B771"/>
      <c r="C771"/>
    </row>
    <row r="772" spans="2:3" x14ac:dyDescent="0.25">
      <c r="B772"/>
      <c r="C772"/>
    </row>
    <row r="773" spans="2:3" x14ac:dyDescent="0.25">
      <c r="B773"/>
      <c r="C773"/>
    </row>
    <row r="774" spans="2:3" x14ac:dyDescent="0.25">
      <c r="B774"/>
      <c r="C774"/>
    </row>
    <row r="775" spans="2:3" x14ac:dyDescent="0.25">
      <c r="B775"/>
      <c r="C775"/>
    </row>
    <row r="776" spans="2:3" x14ac:dyDescent="0.25">
      <c r="B776"/>
      <c r="C776"/>
    </row>
    <row r="777" spans="2:3" x14ac:dyDescent="0.25">
      <c r="B777"/>
      <c r="C777"/>
    </row>
    <row r="778" spans="2:3" x14ac:dyDescent="0.25">
      <c r="B778"/>
      <c r="C778"/>
    </row>
    <row r="779" spans="2:3" x14ac:dyDescent="0.25">
      <c r="B779"/>
      <c r="C779"/>
    </row>
    <row r="780" spans="2:3" x14ac:dyDescent="0.25">
      <c r="B780"/>
      <c r="C780"/>
    </row>
    <row r="781" spans="2:3" x14ac:dyDescent="0.25">
      <c r="B781"/>
      <c r="C781"/>
    </row>
    <row r="782" spans="2:3" x14ac:dyDescent="0.25">
      <c r="B782"/>
      <c r="C782"/>
    </row>
    <row r="783" spans="2:3" x14ac:dyDescent="0.25">
      <c r="B783"/>
      <c r="C783"/>
    </row>
    <row r="784" spans="2:3" x14ac:dyDescent="0.25">
      <c r="B784"/>
      <c r="C784"/>
    </row>
    <row r="785" spans="2:3" x14ac:dyDescent="0.25">
      <c r="B785"/>
      <c r="C785"/>
    </row>
    <row r="786" spans="2:3" x14ac:dyDescent="0.25">
      <c r="B786"/>
      <c r="C786"/>
    </row>
    <row r="787" spans="2:3" x14ac:dyDescent="0.25">
      <c r="B787"/>
      <c r="C787"/>
    </row>
    <row r="788" spans="2:3" x14ac:dyDescent="0.25">
      <c r="B788"/>
      <c r="C788"/>
    </row>
    <row r="789" spans="2:3" x14ac:dyDescent="0.25">
      <c r="B789"/>
      <c r="C789"/>
    </row>
    <row r="790" spans="2:3" x14ac:dyDescent="0.25">
      <c r="B790"/>
      <c r="C790"/>
    </row>
    <row r="791" spans="2:3" x14ac:dyDescent="0.25">
      <c r="B791"/>
      <c r="C791"/>
    </row>
    <row r="792" spans="2:3" x14ac:dyDescent="0.25">
      <c r="B792"/>
      <c r="C792"/>
    </row>
    <row r="793" spans="2:3" x14ac:dyDescent="0.25">
      <c r="B793"/>
      <c r="C793"/>
    </row>
    <row r="794" spans="2:3" x14ac:dyDescent="0.25">
      <c r="B794"/>
      <c r="C794"/>
    </row>
    <row r="795" spans="2:3" x14ac:dyDescent="0.25">
      <c r="B795"/>
      <c r="C795"/>
    </row>
    <row r="796" spans="2:3" x14ac:dyDescent="0.25">
      <c r="B796"/>
      <c r="C796"/>
    </row>
    <row r="797" spans="2:3" x14ac:dyDescent="0.25">
      <c r="B797"/>
      <c r="C797"/>
    </row>
    <row r="798" spans="2:3" x14ac:dyDescent="0.25">
      <c r="B798"/>
      <c r="C798"/>
    </row>
    <row r="799" spans="2:3" x14ac:dyDescent="0.25">
      <c r="B799"/>
      <c r="C799"/>
    </row>
    <row r="800" spans="2:3" x14ac:dyDescent="0.25">
      <c r="B800"/>
      <c r="C800"/>
    </row>
    <row r="801" spans="2:3" x14ac:dyDescent="0.25">
      <c r="B801"/>
      <c r="C801"/>
    </row>
    <row r="802" spans="2:3" x14ac:dyDescent="0.25">
      <c r="B802"/>
      <c r="C802"/>
    </row>
    <row r="803" spans="2:3" x14ac:dyDescent="0.25">
      <c r="B803"/>
      <c r="C803"/>
    </row>
    <row r="804" spans="2:3" x14ac:dyDescent="0.25">
      <c r="B804"/>
      <c r="C804"/>
    </row>
    <row r="805" spans="2:3" x14ac:dyDescent="0.25">
      <c r="B805"/>
      <c r="C805"/>
    </row>
    <row r="806" spans="2:3" x14ac:dyDescent="0.25">
      <c r="B806"/>
      <c r="C806"/>
    </row>
    <row r="807" spans="2:3" x14ac:dyDescent="0.25">
      <c r="B807"/>
      <c r="C807"/>
    </row>
    <row r="808" spans="2:3" x14ac:dyDescent="0.25">
      <c r="B808"/>
      <c r="C808"/>
    </row>
    <row r="809" spans="2:3" x14ac:dyDescent="0.25">
      <c r="B809"/>
      <c r="C809"/>
    </row>
    <row r="810" spans="2:3" x14ac:dyDescent="0.25">
      <c r="B810"/>
      <c r="C810"/>
    </row>
    <row r="811" spans="2:3" x14ac:dyDescent="0.25">
      <c r="B811"/>
      <c r="C811"/>
    </row>
    <row r="812" spans="2:3" x14ac:dyDescent="0.25">
      <c r="B812"/>
      <c r="C812"/>
    </row>
    <row r="813" spans="2:3" x14ac:dyDescent="0.25">
      <c r="B813"/>
      <c r="C813"/>
    </row>
    <row r="814" spans="2:3" x14ac:dyDescent="0.25">
      <c r="B814"/>
      <c r="C814"/>
    </row>
    <row r="815" spans="2:3" x14ac:dyDescent="0.25">
      <c r="B815"/>
      <c r="C815"/>
    </row>
    <row r="816" spans="2:3" x14ac:dyDescent="0.25">
      <c r="B816"/>
      <c r="C816"/>
    </row>
    <row r="817" spans="2:3" x14ac:dyDescent="0.25">
      <c r="B817"/>
      <c r="C817"/>
    </row>
    <row r="818" spans="2:3" x14ac:dyDescent="0.25">
      <c r="B818"/>
      <c r="C818"/>
    </row>
    <row r="819" spans="2:3" x14ac:dyDescent="0.25">
      <c r="B819"/>
      <c r="C819"/>
    </row>
    <row r="820" spans="2:3" x14ac:dyDescent="0.25">
      <c r="B820"/>
      <c r="C820"/>
    </row>
    <row r="821" spans="2:3" x14ac:dyDescent="0.25">
      <c r="B821"/>
      <c r="C821"/>
    </row>
    <row r="822" spans="2:3" x14ac:dyDescent="0.25">
      <c r="B822"/>
      <c r="C822"/>
    </row>
    <row r="823" spans="2:3" x14ac:dyDescent="0.25">
      <c r="B823"/>
      <c r="C823"/>
    </row>
    <row r="824" spans="2:3" x14ac:dyDescent="0.25">
      <c r="B824"/>
      <c r="C824"/>
    </row>
    <row r="825" spans="2:3" x14ac:dyDescent="0.25">
      <c r="B825"/>
      <c r="C825"/>
    </row>
    <row r="826" spans="2:3" x14ac:dyDescent="0.25">
      <c r="B826"/>
      <c r="C826"/>
    </row>
    <row r="827" spans="2:3" x14ac:dyDescent="0.25">
      <c r="B827"/>
      <c r="C827"/>
    </row>
    <row r="828" spans="2:3" x14ac:dyDescent="0.25">
      <c r="B828"/>
      <c r="C828"/>
    </row>
    <row r="829" spans="2:3" x14ac:dyDescent="0.25">
      <c r="B829"/>
      <c r="C829"/>
    </row>
    <row r="830" spans="2:3" x14ac:dyDescent="0.25">
      <c r="B830"/>
      <c r="C830"/>
    </row>
    <row r="831" spans="2:3" x14ac:dyDescent="0.25">
      <c r="B831"/>
      <c r="C831"/>
    </row>
    <row r="832" spans="2:3" x14ac:dyDescent="0.25">
      <c r="B832"/>
      <c r="C832"/>
    </row>
    <row r="833" spans="2:3" x14ac:dyDescent="0.25">
      <c r="B833"/>
      <c r="C833"/>
    </row>
    <row r="834" spans="2:3" x14ac:dyDescent="0.25">
      <c r="B834"/>
      <c r="C834"/>
    </row>
    <row r="835" spans="2:3" x14ac:dyDescent="0.25">
      <c r="B835"/>
      <c r="C835"/>
    </row>
    <row r="836" spans="2:3" x14ac:dyDescent="0.25">
      <c r="B836"/>
      <c r="C836"/>
    </row>
    <row r="837" spans="2:3" x14ac:dyDescent="0.25">
      <c r="B837"/>
      <c r="C837"/>
    </row>
    <row r="838" spans="2:3" x14ac:dyDescent="0.25">
      <c r="B838"/>
      <c r="C838"/>
    </row>
    <row r="839" spans="2:3" x14ac:dyDescent="0.25">
      <c r="B839"/>
      <c r="C839"/>
    </row>
    <row r="840" spans="2:3" x14ac:dyDescent="0.25">
      <c r="B840"/>
      <c r="C840"/>
    </row>
    <row r="841" spans="2:3" x14ac:dyDescent="0.25">
      <c r="B841"/>
      <c r="C841"/>
    </row>
    <row r="842" spans="2:3" x14ac:dyDescent="0.25">
      <c r="B842"/>
      <c r="C842"/>
    </row>
    <row r="843" spans="2:3" x14ac:dyDescent="0.25">
      <c r="B843"/>
      <c r="C843"/>
    </row>
    <row r="844" spans="2:3" x14ac:dyDescent="0.25">
      <c r="B844"/>
      <c r="C844"/>
    </row>
    <row r="845" spans="2:3" x14ac:dyDescent="0.25">
      <c r="B845"/>
      <c r="C845"/>
    </row>
    <row r="846" spans="2:3" x14ac:dyDescent="0.25">
      <c r="B846"/>
      <c r="C846"/>
    </row>
    <row r="847" spans="2:3" x14ac:dyDescent="0.25">
      <c r="B847"/>
      <c r="C847"/>
    </row>
    <row r="848" spans="2:3" x14ac:dyDescent="0.25">
      <c r="B848"/>
      <c r="C848"/>
    </row>
    <row r="849" spans="2:3" x14ac:dyDescent="0.25">
      <c r="B849"/>
      <c r="C849"/>
    </row>
    <row r="850" spans="2:3" x14ac:dyDescent="0.25">
      <c r="B850"/>
      <c r="C850"/>
    </row>
    <row r="851" spans="2:3" x14ac:dyDescent="0.25">
      <c r="B851"/>
      <c r="C851"/>
    </row>
    <row r="852" spans="2:3" x14ac:dyDescent="0.25">
      <c r="B852"/>
      <c r="C852"/>
    </row>
    <row r="853" spans="2:3" x14ac:dyDescent="0.25">
      <c r="B853"/>
      <c r="C853"/>
    </row>
    <row r="854" spans="2:3" x14ac:dyDescent="0.25">
      <c r="B854"/>
      <c r="C854"/>
    </row>
    <row r="855" spans="2:3" x14ac:dyDescent="0.25">
      <c r="B855"/>
      <c r="C855"/>
    </row>
    <row r="856" spans="2:3" x14ac:dyDescent="0.25">
      <c r="B856"/>
      <c r="C856"/>
    </row>
    <row r="857" spans="2:3" x14ac:dyDescent="0.25">
      <c r="B857"/>
      <c r="C857"/>
    </row>
    <row r="858" spans="2:3" x14ac:dyDescent="0.25">
      <c r="B858"/>
      <c r="C858"/>
    </row>
    <row r="859" spans="2:3" x14ac:dyDescent="0.25">
      <c r="B859"/>
      <c r="C859"/>
    </row>
    <row r="860" spans="2:3" x14ac:dyDescent="0.25">
      <c r="B860"/>
      <c r="C860"/>
    </row>
    <row r="861" spans="2:3" x14ac:dyDescent="0.25">
      <c r="B861"/>
      <c r="C861"/>
    </row>
    <row r="862" spans="2:3" x14ac:dyDescent="0.25">
      <c r="B862"/>
      <c r="C862"/>
    </row>
    <row r="863" spans="2:3" x14ac:dyDescent="0.25">
      <c r="B863"/>
      <c r="C863"/>
    </row>
    <row r="864" spans="2:3" x14ac:dyDescent="0.25">
      <c r="B864"/>
      <c r="C864"/>
    </row>
    <row r="865" spans="2:3" x14ac:dyDescent="0.25">
      <c r="B865"/>
      <c r="C865"/>
    </row>
    <row r="866" spans="2:3" x14ac:dyDescent="0.25">
      <c r="B866"/>
      <c r="C866"/>
    </row>
    <row r="867" spans="2:3" x14ac:dyDescent="0.25">
      <c r="B867"/>
      <c r="C867"/>
    </row>
    <row r="868" spans="2:3" x14ac:dyDescent="0.25">
      <c r="B868"/>
      <c r="C868"/>
    </row>
    <row r="869" spans="2:3" x14ac:dyDescent="0.25">
      <c r="B869"/>
      <c r="C869"/>
    </row>
    <row r="870" spans="2:3" x14ac:dyDescent="0.25">
      <c r="B870"/>
      <c r="C870"/>
    </row>
    <row r="871" spans="2:3" x14ac:dyDescent="0.25">
      <c r="B871"/>
      <c r="C871"/>
    </row>
    <row r="872" spans="2:3" x14ac:dyDescent="0.25">
      <c r="B872"/>
      <c r="C872"/>
    </row>
    <row r="873" spans="2:3" x14ac:dyDescent="0.25">
      <c r="B873"/>
      <c r="C873"/>
    </row>
    <row r="874" spans="2:3" x14ac:dyDescent="0.25">
      <c r="B874"/>
      <c r="C874"/>
    </row>
    <row r="875" spans="2:3" x14ac:dyDescent="0.25">
      <c r="B875"/>
      <c r="C875"/>
    </row>
    <row r="876" spans="2:3" x14ac:dyDescent="0.25">
      <c r="B876"/>
      <c r="C876"/>
    </row>
    <row r="877" spans="2:3" x14ac:dyDescent="0.25">
      <c r="B877"/>
      <c r="C877"/>
    </row>
    <row r="878" spans="2:3" x14ac:dyDescent="0.25">
      <c r="B878"/>
      <c r="C878"/>
    </row>
    <row r="879" spans="2:3" x14ac:dyDescent="0.25">
      <c r="B879"/>
      <c r="C879"/>
    </row>
    <row r="880" spans="2:3" x14ac:dyDescent="0.25">
      <c r="B880"/>
      <c r="C880"/>
    </row>
    <row r="881" spans="2:3" x14ac:dyDescent="0.25">
      <c r="B881"/>
      <c r="C881"/>
    </row>
    <row r="882" spans="2:3" x14ac:dyDescent="0.25">
      <c r="B882"/>
      <c r="C882"/>
    </row>
    <row r="883" spans="2:3" x14ac:dyDescent="0.25">
      <c r="B883"/>
      <c r="C883"/>
    </row>
    <row r="884" spans="2:3" x14ac:dyDescent="0.25">
      <c r="B884"/>
      <c r="C884"/>
    </row>
    <row r="885" spans="2:3" x14ac:dyDescent="0.25">
      <c r="B885"/>
      <c r="C885"/>
    </row>
    <row r="886" spans="2:3" x14ac:dyDescent="0.25">
      <c r="B886"/>
      <c r="C886"/>
    </row>
    <row r="887" spans="2:3" x14ac:dyDescent="0.25">
      <c r="B887"/>
      <c r="C887"/>
    </row>
    <row r="888" spans="2:3" x14ac:dyDescent="0.25">
      <c r="B888"/>
      <c r="C888"/>
    </row>
    <row r="889" spans="2:3" x14ac:dyDescent="0.25">
      <c r="B889"/>
      <c r="C889"/>
    </row>
    <row r="890" spans="2:3" x14ac:dyDescent="0.25">
      <c r="B890"/>
      <c r="C890"/>
    </row>
    <row r="891" spans="2:3" x14ac:dyDescent="0.25">
      <c r="B891"/>
      <c r="C891"/>
    </row>
    <row r="892" spans="2:3" x14ac:dyDescent="0.25">
      <c r="B892"/>
      <c r="C892"/>
    </row>
    <row r="893" spans="2:3" x14ac:dyDescent="0.25">
      <c r="B893"/>
      <c r="C893"/>
    </row>
    <row r="894" spans="2:3" x14ac:dyDescent="0.25">
      <c r="B894"/>
      <c r="C894"/>
    </row>
    <row r="895" spans="2:3" x14ac:dyDescent="0.25">
      <c r="B895"/>
      <c r="C895"/>
    </row>
    <row r="896" spans="2:3" x14ac:dyDescent="0.25">
      <c r="B896"/>
      <c r="C896"/>
    </row>
    <row r="897" spans="2:3" x14ac:dyDescent="0.25">
      <c r="B897"/>
      <c r="C897"/>
    </row>
    <row r="898" spans="2:3" x14ac:dyDescent="0.25">
      <c r="B898"/>
      <c r="C898"/>
    </row>
    <row r="899" spans="2:3" x14ac:dyDescent="0.25">
      <c r="B899"/>
      <c r="C899"/>
    </row>
    <row r="900" spans="2:3" x14ac:dyDescent="0.25">
      <c r="B900"/>
      <c r="C900"/>
    </row>
    <row r="901" spans="2:3" x14ac:dyDescent="0.25">
      <c r="B901"/>
      <c r="C901"/>
    </row>
    <row r="902" spans="2:3" x14ac:dyDescent="0.25">
      <c r="B902"/>
      <c r="C902"/>
    </row>
    <row r="903" spans="2:3" x14ac:dyDescent="0.25">
      <c r="B903"/>
      <c r="C903"/>
    </row>
    <row r="904" spans="2:3" x14ac:dyDescent="0.25">
      <c r="B904"/>
      <c r="C904"/>
    </row>
    <row r="905" spans="2:3" x14ac:dyDescent="0.25">
      <c r="B905"/>
      <c r="C905"/>
    </row>
    <row r="906" spans="2:3" x14ac:dyDescent="0.25">
      <c r="B906"/>
      <c r="C906"/>
    </row>
    <row r="907" spans="2:3" x14ac:dyDescent="0.25">
      <c r="B907"/>
      <c r="C907"/>
    </row>
    <row r="908" spans="2:3" x14ac:dyDescent="0.25">
      <c r="B908"/>
      <c r="C908"/>
    </row>
    <row r="909" spans="2:3" x14ac:dyDescent="0.25">
      <c r="B909"/>
      <c r="C909"/>
    </row>
    <row r="910" spans="2:3" x14ac:dyDescent="0.25">
      <c r="B910"/>
      <c r="C910"/>
    </row>
    <row r="911" spans="2:3" x14ac:dyDescent="0.25">
      <c r="B911"/>
      <c r="C911"/>
    </row>
    <row r="912" spans="2:3" x14ac:dyDescent="0.25">
      <c r="B912"/>
      <c r="C912"/>
    </row>
    <row r="913" spans="2:3" x14ac:dyDescent="0.25">
      <c r="B913"/>
      <c r="C913"/>
    </row>
    <row r="914" spans="2:3" x14ac:dyDescent="0.25">
      <c r="B914"/>
      <c r="C914"/>
    </row>
    <row r="915" spans="2:3" x14ac:dyDescent="0.25">
      <c r="B915"/>
      <c r="C915"/>
    </row>
    <row r="916" spans="2:3" x14ac:dyDescent="0.25">
      <c r="B916"/>
      <c r="C916"/>
    </row>
    <row r="917" spans="2:3" x14ac:dyDescent="0.25">
      <c r="B917"/>
      <c r="C917"/>
    </row>
    <row r="918" spans="2:3" x14ac:dyDescent="0.25">
      <c r="B918"/>
      <c r="C918"/>
    </row>
    <row r="919" spans="2:3" x14ac:dyDescent="0.25">
      <c r="B919"/>
      <c r="C919"/>
    </row>
    <row r="920" spans="2:3" x14ac:dyDescent="0.25">
      <c r="B920"/>
      <c r="C920"/>
    </row>
    <row r="921" spans="2:3" x14ac:dyDescent="0.25">
      <c r="B921"/>
      <c r="C921"/>
    </row>
    <row r="922" spans="2:3" x14ac:dyDescent="0.25">
      <c r="B922"/>
      <c r="C922"/>
    </row>
    <row r="923" spans="2:3" x14ac:dyDescent="0.25">
      <c r="B923"/>
      <c r="C923"/>
    </row>
    <row r="924" spans="2:3" x14ac:dyDescent="0.25">
      <c r="B924"/>
      <c r="C924"/>
    </row>
    <row r="925" spans="2:3" x14ac:dyDescent="0.25">
      <c r="B925"/>
      <c r="C925"/>
    </row>
    <row r="926" spans="2:3" x14ac:dyDescent="0.25">
      <c r="B926"/>
      <c r="C926"/>
    </row>
    <row r="927" spans="2:3" x14ac:dyDescent="0.25">
      <c r="B927"/>
      <c r="C927"/>
    </row>
    <row r="928" spans="2:3" x14ac:dyDescent="0.25">
      <c r="B928"/>
      <c r="C928"/>
    </row>
    <row r="929" spans="2:3" x14ac:dyDescent="0.25">
      <c r="B929"/>
      <c r="C929"/>
    </row>
    <row r="930" spans="2:3" x14ac:dyDescent="0.25">
      <c r="B930"/>
      <c r="C930"/>
    </row>
    <row r="931" spans="2:3" x14ac:dyDescent="0.25">
      <c r="B931"/>
      <c r="C931"/>
    </row>
    <row r="932" spans="2:3" x14ac:dyDescent="0.25">
      <c r="B932"/>
      <c r="C932"/>
    </row>
    <row r="933" spans="2:3" x14ac:dyDescent="0.25">
      <c r="B933"/>
      <c r="C933"/>
    </row>
    <row r="934" spans="2:3" x14ac:dyDescent="0.25">
      <c r="B934"/>
      <c r="C934"/>
    </row>
    <row r="935" spans="2:3" x14ac:dyDescent="0.25">
      <c r="B935"/>
      <c r="C935"/>
    </row>
    <row r="936" spans="2:3" x14ac:dyDescent="0.25">
      <c r="B936"/>
      <c r="C936"/>
    </row>
    <row r="937" spans="2:3" x14ac:dyDescent="0.25">
      <c r="B937"/>
      <c r="C937"/>
    </row>
    <row r="938" spans="2:3" x14ac:dyDescent="0.25">
      <c r="B938"/>
      <c r="C938"/>
    </row>
    <row r="939" spans="2:3" x14ac:dyDescent="0.25">
      <c r="B939"/>
      <c r="C939"/>
    </row>
    <row r="940" spans="2:3" x14ac:dyDescent="0.25">
      <c r="B940"/>
      <c r="C940"/>
    </row>
    <row r="941" spans="2:3" x14ac:dyDescent="0.25">
      <c r="B941"/>
      <c r="C941"/>
    </row>
    <row r="942" spans="2:3" x14ac:dyDescent="0.25">
      <c r="B942"/>
      <c r="C942"/>
    </row>
    <row r="943" spans="2:3" x14ac:dyDescent="0.25">
      <c r="B943"/>
      <c r="C943"/>
    </row>
    <row r="944" spans="2:3" x14ac:dyDescent="0.25">
      <c r="B944"/>
      <c r="C944"/>
    </row>
    <row r="945" spans="1:3" x14ac:dyDescent="0.25">
      <c r="B945"/>
      <c r="C945"/>
    </row>
    <row r="946" spans="1:3" x14ac:dyDescent="0.25">
      <c r="B946"/>
      <c r="C946"/>
    </row>
    <row r="947" spans="1:3" x14ac:dyDescent="0.25">
      <c r="B947"/>
      <c r="C947"/>
    </row>
    <row r="948" spans="1:3" x14ac:dyDescent="0.25">
      <c r="B948"/>
      <c r="C948"/>
    </row>
    <row r="949" spans="1:3" x14ac:dyDescent="0.25">
      <c r="B949"/>
      <c r="C949"/>
    </row>
    <row r="950" spans="1:3" x14ac:dyDescent="0.25">
      <c r="B950"/>
      <c r="C950"/>
    </row>
    <row r="951" spans="1:3" x14ac:dyDescent="0.25">
      <c r="B951"/>
      <c r="C951"/>
    </row>
    <row r="952" spans="1:3" x14ac:dyDescent="0.25">
      <c r="B952"/>
      <c r="C952"/>
    </row>
    <row r="953" spans="1:3" x14ac:dyDescent="0.25">
      <c r="B953"/>
      <c r="C953"/>
    </row>
    <row r="954" spans="1:3" x14ac:dyDescent="0.25">
      <c r="B954"/>
      <c r="C954"/>
    </row>
    <row r="955" spans="1:3" x14ac:dyDescent="0.25">
      <c r="B955"/>
      <c r="C955"/>
    </row>
    <row r="956" spans="1:3" x14ac:dyDescent="0.25">
      <c r="B956"/>
      <c r="C956"/>
    </row>
    <row r="957" spans="1:3" x14ac:dyDescent="0.25">
      <c r="A957" s="33" t="s">
        <v>462</v>
      </c>
      <c r="B957"/>
      <c r="C957"/>
    </row>
    <row r="958" spans="1:3" x14ac:dyDescent="0.25">
      <c r="B958"/>
      <c r="C958"/>
    </row>
    <row r="959" spans="1:3" x14ac:dyDescent="0.25">
      <c r="B959"/>
      <c r="C959"/>
    </row>
    <row r="960" spans="1:3" x14ac:dyDescent="0.25">
      <c r="B960"/>
      <c r="C960"/>
    </row>
    <row r="961" spans="1:3" x14ac:dyDescent="0.25">
      <c r="B961"/>
      <c r="C961"/>
    </row>
    <row r="962" spans="1:3" x14ac:dyDescent="0.25">
      <c r="B962"/>
      <c r="C962"/>
    </row>
    <row r="963" spans="1:3" x14ac:dyDescent="0.25">
      <c r="B963"/>
      <c r="C963"/>
    </row>
    <row r="964" spans="1:3" x14ac:dyDescent="0.25">
      <c r="B964"/>
      <c r="C964"/>
    </row>
    <row r="965" spans="1:3" x14ac:dyDescent="0.25">
      <c r="B965"/>
      <c r="C965"/>
    </row>
    <row r="966" spans="1:3" x14ac:dyDescent="0.25">
      <c r="B966"/>
      <c r="C966"/>
    </row>
    <row r="967" spans="1:3" x14ac:dyDescent="0.25">
      <c r="A967" s="33" t="s">
        <v>462</v>
      </c>
      <c r="B967"/>
      <c r="C967"/>
    </row>
    <row r="968" spans="1:3" x14ac:dyDescent="0.25">
      <c r="B968"/>
      <c r="C968"/>
    </row>
    <row r="969" spans="1:3" x14ac:dyDescent="0.25">
      <c r="B969"/>
      <c r="C969"/>
    </row>
    <row r="970" spans="1:3" x14ac:dyDescent="0.25">
      <c r="B970"/>
      <c r="C970"/>
    </row>
    <row r="971" spans="1:3" x14ac:dyDescent="0.25">
      <c r="B971"/>
      <c r="C971"/>
    </row>
    <row r="972" spans="1:3" x14ac:dyDescent="0.25">
      <c r="B972"/>
      <c r="C972"/>
    </row>
    <row r="973" spans="1:3" x14ac:dyDescent="0.25">
      <c r="B973"/>
      <c r="C973"/>
    </row>
    <row r="974" spans="1:3" x14ac:dyDescent="0.25">
      <c r="B974"/>
      <c r="C974"/>
    </row>
    <row r="975" spans="1:3" x14ac:dyDescent="0.25">
      <c r="B975"/>
      <c r="C975"/>
    </row>
    <row r="976" spans="1:3" x14ac:dyDescent="0.25">
      <c r="B976"/>
      <c r="C976"/>
    </row>
    <row r="977" spans="2:3" x14ac:dyDescent="0.25">
      <c r="B977"/>
      <c r="C977"/>
    </row>
    <row r="978" spans="2:3" x14ac:dyDescent="0.25">
      <c r="B978"/>
      <c r="C978"/>
    </row>
    <row r="979" spans="2:3" x14ac:dyDescent="0.25">
      <c r="B979"/>
      <c r="C979"/>
    </row>
    <row r="980" spans="2:3" x14ac:dyDescent="0.25">
      <c r="B980"/>
      <c r="C980"/>
    </row>
    <row r="981" spans="2:3" x14ac:dyDescent="0.25">
      <c r="B981"/>
      <c r="C981"/>
    </row>
    <row r="982" spans="2:3" x14ac:dyDescent="0.25">
      <c r="B982"/>
      <c r="C982"/>
    </row>
    <row r="983" spans="2:3" x14ac:dyDescent="0.25">
      <c r="B983"/>
      <c r="C983"/>
    </row>
    <row r="984" spans="2:3" x14ac:dyDescent="0.25">
      <c r="B984"/>
      <c r="C984"/>
    </row>
    <row r="985" spans="2:3" x14ac:dyDescent="0.25">
      <c r="B985"/>
      <c r="C985"/>
    </row>
    <row r="986" spans="2:3" x14ac:dyDescent="0.25">
      <c r="B986"/>
      <c r="C986"/>
    </row>
    <row r="987" spans="2:3" x14ac:dyDescent="0.25">
      <c r="B987"/>
      <c r="C987"/>
    </row>
    <row r="988" spans="2:3" x14ac:dyDescent="0.25">
      <c r="B988"/>
      <c r="C988"/>
    </row>
    <row r="989" spans="2:3" x14ac:dyDescent="0.25">
      <c r="B989"/>
      <c r="C989"/>
    </row>
    <row r="990" spans="2:3" x14ac:dyDescent="0.25">
      <c r="B990"/>
      <c r="C990"/>
    </row>
    <row r="991" spans="2:3" x14ac:dyDescent="0.25">
      <c r="B991"/>
      <c r="C991"/>
    </row>
    <row r="992" spans="2:3" x14ac:dyDescent="0.25">
      <c r="B992"/>
      <c r="C992"/>
    </row>
    <row r="993" spans="2:3" x14ac:dyDescent="0.25">
      <c r="B993"/>
      <c r="C993"/>
    </row>
    <row r="994" spans="2:3" x14ac:dyDescent="0.25">
      <c r="B994"/>
      <c r="C994"/>
    </row>
    <row r="995" spans="2:3" x14ac:dyDescent="0.25">
      <c r="B995"/>
      <c r="C995"/>
    </row>
    <row r="996" spans="2:3" x14ac:dyDescent="0.25">
      <c r="B996"/>
      <c r="C996"/>
    </row>
    <row r="997" spans="2:3" x14ac:dyDescent="0.25">
      <c r="B997"/>
      <c r="C997"/>
    </row>
    <row r="998" spans="2:3" x14ac:dyDescent="0.25">
      <c r="B998"/>
      <c r="C998"/>
    </row>
    <row r="999" spans="2:3" x14ac:dyDescent="0.25">
      <c r="B999"/>
      <c r="C999"/>
    </row>
    <row r="1000" spans="2:3" x14ac:dyDescent="0.25">
      <c r="B1000"/>
      <c r="C1000"/>
    </row>
    <row r="1001" spans="2:3" x14ac:dyDescent="0.25">
      <c r="B1001"/>
      <c r="C1001"/>
    </row>
    <row r="1002" spans="2:3" x14ac:dyDescent="0.25">
      <c r="B1002"/>
      <c r="C1002"/>
    </row>
    <row r="1003" spans="2:3" x14ac:dyDescent="0.25">
      <c r="B1003"/>
      <c r="C1003"/>
    </row>
    <row r="1004" spans="2:3" x14ac:dyDescent="0.25">
      <c r="B1004"/>
      <c r="C1004"/>
    </row>
    <row r="1005" spans="2:3" x14ac:dyDescent="0.25">
      <c r="B1005"/>
      <c r="C1005"/>
    </row>
    <row r="1006" spans="2:3" x14ac:dyDescent="0.25">
      <c r="B1006"/>
      <c r="C1006"/>
    </row>
    <row r="1007" spans="2:3" x14ac:dyDescent="0.25">
      <c r="B1007"/>
      <c r="C1007"/>
    </row>
    <row r="1008" spans="2:3" x14ac:dyDescent="0.25">
      <c r="B1008"/>
      <c r="C1008"/>
    </row>
    <row r="1009" spans="2:3" x14ac:dyDescent="0.25">
      <c r="B1009"/>
      <c r="C1009"/>
    </row>
    <row r="1010" spans="2:3" x14ac:dyDescent="0.25">
      <c r="B1010"/>
      <c r="C1010"/>
    </row>
    <row r="1011" spans="2:3" x14ac:dyDescent="0.25">
      <c r="B1011"/>
      <c r="C1011"/>
    </row>
    <row r="1012" spans="2:3" x14ac:dyDescent="0.25">
      <c r="B1012"/>
      <c r="C1012"/>
    </row>
    <row r="1013" spans="2:3" x14ac:dyDescent="0.25">
      <c r="B1013"/>
      <c r="C1013"/>
    </row>
    <row r="1014" spans="2:3" x14ac:dyDescent="0.25">
      <c r="B1014"/>
      <c r="C1014"/>
    </row>
    <row r="1015" spans="2:3" x14ac:dyDescent="0.25">
      <c r="B1015"/>
      <c r="C1015"/>
    </row>
    <row r="1016" spans="2:3" x14ac:dyDescent="0.25">
      <c r="B1016"/>
      <c r="C1016"/>
    </row>
    <row r="1017" spans="2:3" x14ac:dyDescent="0.25">
      <c r="B1017"/>
      <c r="C1017"/>
    </row>
    <row r="1018" spans="2:3" x14ac:dyDescent="0.25">
      <c r="B1018"/>
      <c r="C1018"/>
    </row>
    <row r="1019" spans="2:3" x14ac:dyDescent="0.25">
      <c r="B1019"/>
      <c r="C1019"/>
    </row>
    <row r="1020" spans="2:3" x14ac:dyDescent="0.25">
      <c r="B1020"/>
      <c r="C1020"/>
    </row>
    <row r="1021" spans="2:3" x14ac:dyDescent="0.25">
      <c r="B1021"/>
      <c r="C1021"/>
    </row>
    <row r="1022" spans="2:3" x14ac:dyDescent="0.25">
      <c r="B1022"/>
      <c r="C1022"/>
    </row>
    <row r="1023" spans="2:3" x14ac:dyDescent="0.25">
      <c r="B1023"/>
      <c r="C1023"/>
    </row>
    <row r="1024" spans="2:3" x14ac:dyDescent="0.25">
      <c r="B1024"/>
      <c r="C1024"/>
    </row>
    <row r="1025" spans="2:3" x14ac:dyDescent="0.25">
      <c r="B1025"/>
      <c r="C1025"/>
    </row>
    <row r="1026" spans="2:3" x14ac:dyDescent="0.25">
      <c r="B1026"/>
      <c r="C1026"/>
    </row>
    <row r="1027" spans="2:3" x14ac:dyDescent="0.25">
      <c r="B1027"/>
      <c r="C1027"/>
    </row>
    <row r="1028" spans="2:3" x14ac:dyDescent="0.25">
      <c r="B1028"/>
      <c r="C1028"/>
    </row>
    <row r="1029" spans="2:3" x14ac:dyDescent="0.25">
      <c r="B1029"/>
      <c r="C1029"/>
    </row>
    <row r="1030" spans="2:3" x14ac:dyDescent="0.25">
      <c r="B1030"/>
      <c r="C1030"/>
    </row>
    <row r="1031" spans="2:3" x14ac:dyDescent="0.25">
      <c r="B1031"/>
      <c r="C1031"/>
    </row>
    <row r="1032" spans="2:3" x14ac:dyDescent="0.25">
      <c r="B1032"/>
      <c r="C1032"/>
    </row>
    <row r="1033" spans="2:3" x14ac:dyDescent="0.25">
      <c r="B1033"/>
      <c r="C1033"/>
    </row>
    <row r="1034" spans="2:3" x14ac:dyDescent="0.25">
      <c r="B1034"/>
      <c r="C1034"/>
    </row>
    <row r="1035" spans="2:3" x14ac:dyDescent="0.25">
      <c r="B1035"/>
      <c r="C1035"/>
    </row>
    <row r="1036" spans="2:3" x14ac:dyDescent="0.25">
      <c r="B1036"/>
      <c r="C1036"/>
    </row>
    <row r="1037" spans="2:3" x14ac:dyDescent="0.25">
      <c r="B1037"/>
      <c r="C1037"/>
    </row>
    <row r="1038" spans="2:3" x14ac:dyDescent="0.25">
      <c r="B1038"/>
      <c r="C1038"/>
    </row>
    <row r="1039" spans="2:3" x14ac:dyDescent="0.25">
      <c r="B1039"/>
      <c r="C1039"/>
    </row>
    <row r="1040" spans="2:3" x14ac:dyDescent="0.25">
      <c r="B1040"/>
      <c r="C1040"/>
    </row>
    <row r="1041" spans="2:3" x14ac:dyDescent="0.25">
      <c r="B1041"/>
      <c r="C1041"/>
    </row>
    <row r="1042" spans="2:3" x14ac:dyDescent="0.25">
      <c r="B1042"/>
      <c r="C1042"/>
    </row>
    <row r="1043" spans="2:3" x14ac:dyDescent="0.25">
      <c r="B1043"/>
      <c r="C1043"/>
    </row>
    <row r="1044" spans="2:3" x14ac:dyDescent="0.25">
      <c r="B1044"/>
      <c r="C1044"/>
    </row>
    <row r="1045" spans="2:3" x14ac:dyDescent="0.25">
      <c r="B1045"/>
      <c r="C1045"/>
    </row>
    <row r="1046" spans="2:3" x14ac:dyDescent="0.25">
      <c r="B1046"/>
      <c r="C1046"/>
    </row>
    <row r="1047" spans="2:3" x14ac:dyDescent="0.25">
      <c r="B1047"/>
      <c r="C1047"/>
    </row>
    <row r="1048" spans="2:3" x14ac:dyDescent="0.25">
      <c r="B1048"/>
      <c r="C1048"/>
    </row>
    <row r="1049" spans="2:3" x14ac:dyDescent="0.25">
      <c r="B1049"/>
      <c r="C1049"/>
    </row>
    <row r="1050" spans="2:3" x14ac:dyDescent="0.25">
      <c r="B1050"/>
      <c r="C1050"/>
    </row>
    <row r="1051" spans="2:3" x14ac:dyDescent="0.25">
      <c r="B1051"/>
      <c r="C1051"/>
    </row>
    <row r="1052" spans="2:3" x14ac:dyDescent="0.25">
      <c r="B1052"/>
      <c r="C1052"/>
    </row>
    <row r="1053" spans="2:3" x14ac:dyDescent="0.25">
      <c r="B1053"/>
      <c r="C1053"/>
    </row>
    <row r="1054" spans="2:3" x14ac:dyDescent="0.25">
      <c r="B1054"/>
      <c r="C1054"/>
    </row>
    <row r="1055" spans="2:3" x14ac:dyDescent="0.25">
      <c r="B1055"/>
      <c r="C1055"/>
    </row>
    <row r="1056" spans="2:3" x14ac:dyDescent="0.25">
      <c r="B1056"/>
      <c r="C1056"/>
    </row>
    <row r="1057" spans="2:3" x14ac:dyDescent="0.25">
      <c r="B1057"/>
      <c r="C1057"/>
    </row>
    <row r="1058" spans="2:3" x14ac:dyDescent="0.25">
      <c r="B1058"/>
      <c r="C1058"/>
    </row>
    <row r="1059" spans="2:3" x14ac:dyDescent="0.25">
      <c r="B1059"/>
      <c r="C1059"/>
    </row>
    <row r="1060" spans="2:3" x14ac:dyDescent="0.25">
      <c r="B1060"/>
      <c r="C1060"/>
    </row>
    <row r="1061" spans="2:3" x14ac:dyDescent="0.25">
      <c r="B1061"/>
      <c r="C1061"/>
    </row>
    <row r="1062" spans="2:3" x14ac:dyDescent="0.25">
      <c r="B1062"/>
      <c r="C1062"/>
    </row>
    <row r="1063" spans="2:3" x14ac:dyDescent="0.25">
      <c r="B1063"/>
      <c r="C1063"/>
    </row>
    <row r="1064" spans="2:3" x14ac:dyDescent="0.25">
      <c r="B1064"/>
      <c r="C1064"/>
    </row>
    <row r="1065" spans="2:3" x14ac:dyDescent="0.25">
      <c r="B1065"/>
      <c r="C1065"/>
    </row>
    <row r="1066" spans="2:3" x14ac:dyDescent="0.25">
      <c r="B1066"/>
      <c r="C1066"/>
    </row>
    <row r="1067" spans="2:3" x14ac:dyDescent="0.25">
      <c r="B1067"/>
      <c r="C1067"/>
    </row>
    <row r="1068" spans="2:3" x14ac:dyDescent="0.25">
      <c r="B1068"/>
      <c r="C1068"/>
    </row>
    <row r="1069" spans="2:3" x14ac:dyDescent="0.25">
      <c r="B1069"/>
      <c r="C1069"/>
    </row>
    <row r="1070" spans="2:3" x14ac:dyDescent="0.25">
      <c r="B1070"/>
      <c r="C1070"/>
    </row>
    <row r="1071" spans="2:3" x14ac:dyDescent="0.25">
      <c r="B1071"/>
      <c r="C1071"/>
    </row>
    <row r="1072" spans="2:3" x14ac:dyDescent="0.25">
      <c r="B1072"/>
      <c r="C1072"/>
    </row>
    <row r="1073" spans="2:3" x14ac:dyDescent="0.25">
      <c r="B1073"/>
      <c r="C1073"/>
    </row>
    <row r="1074" spans="2:3" x14ac:dyDescent="0.25">
      <c r="B1074"/>
      <c r="C1074"/>
    </row>
    <row r="1075" spans="2:3" x14ac:dyDescent="0.25">
      <c r="B1075"/>
      <c r="C1075"/>
    </row>
    <row r="1076" spans="2:3" x14ac:dyDescent="0.25">
      <c r="B1076"/>
      <c r="C1076"/>
    </row>
    <row r="1077" spans="2:3" x14ac:dyDescent="0.25">
      <c r="B1077"/>
      <c r="C1077"/>
    </row>
    <row r="1078" spans="2:3" x14ac:dyDescent="0.25">
      <c r="B1078"/>
      <c r="C1078"/>
    </row>
    <row r="1079" spans="2:3" x14ac:dyDescent="0.25">
      <c r="B1079"/>
      <c r="C1079"/>
    </row>
    <row r="1080" spans="2:3" x14ac:dyDescent="0.25">
      <c r="B1080"/>
      <c r="C1080"/>
    </row>
    <row r="1081" spans="2:3" x14ac:dyDescent="0.25">
      <c r="B1081"/>
      <c r="C1081"/>
    </row>
    <row r="1082" spans="2:3" x14ac:dyDescent="0.25">
      <c r="B1082"/>
      <c r="C1082"/>
    </row>
    <row r="1083" spans="2:3" x14ac:dyDescent="0.25">
      <c r="B1083"/>
      <c r="C1083"/>
    </row>
    <row r="1084" spans="2:3" x14ac:dyDescent="0.25">
      <c r="B1084"/>
      <c r="C1084"/>
    </row>
    <row r="1085" spans="2:3" x14ac:dyDescent="0.25">
      <c r="B1085"/>
      <c r="C1085"/>
    </row>
    <row r="1086" spans="2:3" x14ac:dyDescent="0.25">
      <c r="B1086"/>
      <c r="C1086"/>
    </row>
    <row r="1087" spans="2:3" x14ac:dyDescent="0.25">
      <c r="B1087"/>
      <c r="C1087"/>
    </row>
    <row r="1088" spans="2:3" x14ac:dyDescent="0.25">
      <c r="B1088"/>
      <c r="C1088"/>
    </row>
    <row r="1089" spans="2:3" x14ac:dyDescent="0.25">
      <c r="B1089"/>
      <c r="C1089"/>
    </row>
    <row r="1090" spans="2:3" x14ac:dyDescent="0.25">
      <c r="B1090"/>
      <c r="C1090"/>
    </row>
    <row r="1091" spans="2:3" x14ac:dyDescent="0.25">
      <c r="B1091"/>
      <c r="C1091"/>
    </row>
    <row r="1092" spans="2:3" x14ac:dyDescent="0.25">
      <c r="B1092"/>
      <c r="C1092"/>
    </row>
    <row r="1093" spans="2:3" x14ac:dyDescent="0.25">
      <c r="B1093"/>
      <c r="C1093"/>
    </row>
    <row r="1094" spans="2:3" x14ac:dyDescent="0.25">
      <c r="B1094"/>
      <c r="C1094"/>
    </row>
    <row r="1095" spans="2:3" x14ac:dyDescent="0.25">
      <c r="B1095"/>
      <c r="C1095"/>
    </row>
    <row r="1096" spans="2:3" x14ac:dyDescent="0.25">
      <c r="B1096"/>
      <c r="C1096"/>
    </row>
    <row r="1097" spans="2:3" x14ac:dyDescent="0.25">
      <c r="B1097"/>
      <c r="C1097"/>
    </row>
    <row r="1098" spans="2:3" x14ac:dyDescent="0.25">
      <c r="B1098"/>
      <c r="C1098"/>
    </row>
    <row r="1099" spans="2:3" x14ac:dyDescent="0.25">
      <c r="B1099"/>
      <c r="C1099"/>
    </row>
    <row r="1100" spans="2:3" x14ac:dyDescent="0.25">
      <c r="B1100"/>
      <c r="C1100"/>
    </row>
    <row r="1101" spans="2:3" x14ac:dyDescent="0.25">
      <c r="B1101"/>
      <c r="C1101"/>
    </row>
    <row r="1102" spans="2:3" x14ac:dyDescent="0.25">
      <c r="B1102"/>
      <c r="C1102"/>
    </row>
    <row r="1103" spans="2:3" x14ac:dyDescent="0.25">
      <c r="B1103"/>
      <c r="C1103"/>
    </row>
    <row r="1104" spans="2:3" x14ac:dyDescent="0.25">
      <c r="B1104"/>
      <c r="C1104"/>
    </row>
    <row r="1105" spans="2:3" x14ac:dyDescent="0.25">
      <c r="B1105"/>
      <c r="C1105"/>
    </row>
    <row r="1106" spans="2:3" x14ac:dyDescent="0.25">
      <c r="B1106"/>
      <c r="C1106"/>
    </row>
    <row r="1107" spans="2:3" x14ac:dyDescent="0.25">
      <c r="B1107"/>
      <c r="C1107"/>
    </row>
    <row r="1108" spans="2:3" x14ac:dyDescent="0.25">
      <c r="B1108"/>
      <c r="C1108"/>
    </row>
    <row r="1109" spans="2:3" x14ac:dyDescent="0.25">
      <c r="B1109"/>
      <c r="C1109"/>
    </row>
    <row r="1110" spans="2:3" x14ac:dyDescent="0.25">
      <c r="B1110"/>
      <c r="C1110"/>
    </row>
    <row r="1111" spans="2:3" x14ac:dyDescent="0.25">
      <c r="B1111"/>
      <c r="C1111"/>
    </row>
    <row r="1112" spans="2:3" x14ac:dyDescent="0.25">
      <c r="B1112"/>
      <c r="C1112"/>
    </row>
    <row r="1113" spans="2:3" x14ac:dyDescent="0.25">
      <c r="B1113"/>
      <c r="C1113"/>
    </row>
    <row r="1114" spans="2:3" x14ac:dyDescent="0.25">
      <c r="B1114"/>
      <c r="C1114"/>
    </row>
    <row r="1115" spans="2:3" x14ac:dyDescent="0.25">
      <c r="B1115"/>
      <c r="C1115"/>
    </row>
    <row r="1116" spans="2:3" x14ac:dyDescent="0.25">
      <c r="B1116"/>
      <c r="C1116"/>
    </row>
    <row r="1117" spans="2:3" x14ac:dyDescent="0.25">
      <c r="B1117"/>
      <c r="C1117"/>
    </row>
    <row r="1118" spans="2:3" x14ac:dyDescent="0.25">
      <c r="B1118"/>
      <c r="C1118"/>
    </row>
    <row r="1119" spans="2:3" x14ac:dyDescent="0.25">
      <c r="B1119"/>
      <c r="C1119"/>
    </row>
    <row r="1120" spans="2:3" x14ac:dyDescent="0.25">
      <c r="B1120"/>
      <c r="C1120"/>
    </row>
    <row r="1121" spans="2:3" x14ac:dyDescent="0.25">
      <c r="B1121"/>
      <c r="C1121"/>
    </row>
    <row r="1122" spans="2:3" x14ac:dyDescent="0.25">
      <c r="B1122"/>
      <c r="C1122"/>
    </row>
    <row r="1123" spans="2:3" x14ac:dyDescent="0.25">
      <c r="B1123"/>
      <c r="C1123"/>
    </row>
    <row r="1124" spans="2:3" x14ac:dyDescent="0.25">
      <c r="B1124"/>
      <c r="C1124"/>
    </row>
    <row r="1125" spans="2:3" x14ac:dyDescent="0.25">
      <c r="B1125"/>
      <c r="C1125"/>
    </row>
    <row r="1126" spans="2:3" x14ac:dyDescent="0.25">
      <c r="B1126"/>
      <c r="C1126"/>
    </row>
    <row r="1127" spans="2:3" x14ac:dyDescent="0.25">
      <c r="B1127"/>
      <c r="C1127"/>
    </row>
    <row r="1128" spans="2:3" x14ac:dyDescent="0.25">
      <c r="B1128"/>
      <c r="C1128"/>
    </row>
    <row r="1129" spans="2:3" x14ac:dyDescent="0.25">
      <c r="B1129"/>
      <c r="C1129"/>
    </row>
    <row r="1130" spans="2:3" x14ac:dyDescent="0.25">
      <c r="B1130"/>
      <c r="C1130"/>
    </row>
    <row r="1131" spans="2:3" x14ac:dyDescent="0.25">
      <c r="B1131"/>
      <c r="C1131"/>
    </row>
    <row r="1132" spans="2:3" x14ac:dyDescent="0.25">
      <c r="B1132"/>
      <c r="C1132"/>
    </row>
    <row r="1133" spans="2:3" x14ac:dyDescent="0.25">
      <c r="B1133"/>
      <c r="C1133"/>
    </row>
    <row r="1134" spans="2:3" x14ac:dyDescent="0.25">
      <c r="B1134"/>
      <c r="C1134"/>
    </row>
    <row r="1135" spans="2:3" x14ac:dyDescent="0.25">
      <c r="B1135"/>
      <c r="C1135"/>
    </row>
    <row r="1136" spans="2:3" x14ac:dyDescent="0.25">
      <c r="B1136"/>
      <c r="C1136"/>
    </row>
    <row r="1137" spans="2:3" x14ac:dyDescent="0.25">
      <c r="B1137"/>
      <c r="C1137"/>
    </row>
    <row r="1138" spans="2:3" x14ac:dyDescent="0.25">
      <c r="B1138"/>
      <c r="C1138"/>
    </row>
    <row r="1139" spans="2:3" x14ac:dyDescent="0.25">
      <c r="B1139"/>
      <c r="C1139"/>
    </row>
    <row r="1140" spans="2:3" x14ac:dyDescent="0.25">
      <c r="B1140"/>
      <c r="C1140"/>
    </row>
    <row r="1141" spans="2:3" x14ac:dyDescent="0.25">
      <c r="B1141"/>
      <c r="C1141"/>
    </row>
    <row r="1142" spans="2:3" x14ac:dyDescent="0.25">
      <c r="B1142"/>
      <c r="C1142"/>
    </row>
    <row r="1143" spans="2:3" x14ac:dyDescent="0.25">
      <c r="B1143"/>
      <c r="C1143"/>
    </row>
    <row r="1144" spans="2:3" x14ac:dyDescent="0.25">
      <c r="B1144"/>
      <c r="C1144"/>
    </row>
    <row r="1145" spans="2:3" x14ac:dyDescent="0.25">
      <c r="B1145"/>
      <c r="C1145"/>
    </row>
    <row r="1146" spans="2:3" x14ac:dyDescent="0.25">
      <c r="B1146"/>
      <c r="C1146"/>
    </row>
    <row r="1147" spans="2:3" x14ac:dyDescent="0.25">
      <c r="B1147"/>
      <c r="C1147"/>
    </row>
    <row r="1148" spans="2:3" x14ac:dyDescent="0.25">
      <c r="B1148"/>
      <c r="C1148"/>
    </row>
    <row r="1149" spans="2:3" x14ac:dyDescent="0.25">
      <c r="B1149"/>
      <c r="C1149"/>
    </row>
    <row r="1150" spans="2:3" x14ac:dyDescent="0.25">
      <c r="B1150"/>
      <c r="C1150"/>
    </row>
    <row r="1151" spans="2:3" x14ac:dyDescent="0.25">
      <c r="B1151"/>
      <c r="C1151"/>
    </row>
    <row r="1152" spans="2:3" x14ac:dyDescent="0.25">
      <c r="B1152"/>
      <c r="C1152"/>
    </row>
    <row r="1153" spans="2:3" x14ac:dyDescent="0.25">
      <c r="B1153"/>
      <c r="C1153"/>
    </row>
    <row r="1154" spans="2:3" x14ac:dyDescent="0.25">
      <c r="B1154"/>
      <c r="C1154"/>
    </row>
    <row r="1155" spans="2:3" x14ac:dyDescent="0.25">
      <c r="B1155"/>
      <c r="C1155"/>
    </row>
    <row r="1156" spans="2:3" x14ac:dyDescent="0.25">
      <c r="B1156"/>
      <c r="C1156"/>
    </row>
    <row r="1157" spans="2:3" x14ac:dyDescent="0.25">
      <c r="B1157"/>
      <c r="C1157"/>
    </row>
    <row r="1158" spans="2:3" x14ac:dyDescent="0.25">
      <c r="B1158"/>
      <c r="C1158"/>
    </row>
    <row r="1159" spans="2:3" x14ac:dyDescent="0.25">
      <c r="B1159"/>
      <c r="C1159"/>
    </row>
    <row r="1160" spans="2:3" x14ac:dyDescent="0.25">
      <c r="B1160"/>
      <c r="C1160"/>
    </row>
    <row r="1161" spans="2:3" x14ac:dyDescent="0.25">
      <c r="B1161"/>
      <c r="C1161"/>
    </row>
    <row r="1162" spans="2:3" x14ac:dyDescent="0.25">
      <c r="B1162"/>
      <c r="C1162"/>
    </row>
    <row r="1163" spans="2:3" x14ac:dyDescent="0.25">
      <c r="B1163"/>
      <c r="C1163"/>
    </row>
    <row r="1164" spans="2:3" x14ac:dyDescent="0.25">
      <c r="B1164"/>
      <c r="C1164"/>
    </row>
    <row r="1165" spans="2:3" x14ac:dyDescent="0.25">
      <c r="B1165"/>
      <c r="C1165"/>
    </row>
    <row r="1166" spans="2:3" x14ac:dyDescent="0.25">
      <c r="B1166"/>
      <c r="C1166"/>
    </row>
    <row r="1167" spans="2:3" x14ac:dyDescent="0.25">
      <c r="B1167"/>
      <c r="C1167"/>
    </row>
    <row r="1168" spans="2:3" x14ac:dyDescent="0.25">
      <c r="B1168"/>
      <c r="C1168"/>
    </row>
    <row r="1169" spans="2:3" x14ac:dyDescent="0.25">
      <c r="B1169"/>
      <c r="C1169"/>
    </row>
    <row r="1170" spans="2:3" x14ac:dyDescent="0.25">
      <c r="B1170"/>
      <c r="C1170"/>
    </row>
    <row r="1171" spans="2:3" x14ac:dyDescent="0.25">
      <c r="B1171"/>
      <c r="C1171"/>
    </row>
    <row r="1172" spans="2:3" x14ac:dyDescent="0.25">
      <c r="B1172"/>
      <c r="C1172"/>
    </row>
    <row r="1173" spans="2:3" x14ac:dyDescent="0.25">
      <c r="B1173"/>
      <c r="C1173"/>
    </row>
    <row r="1174" spans="2:3" x14ac:dyDescent="0.25">
      <c r="B1174"/>
      <c r="C1174"/>
    </row>
    <row r="1175" spans="2:3" x14ac:dyDescent="0.25">
      <c r="B1175"/>
      <c r="C1175"/>
    </row>
    <row r="1176" spans="2:3" x14ac:dyDescent="0.25">
      <c r="B1176"/>
      <c r="C1176"/>
    </row>
    <row r="1177" spans="2:3" x14ac:dyDescent="0.25">
      <c r="B1177"/>
      <c r="C1177"/>
    </row>
    <row r="1178" spans="2:3" x14ac:dyDescent="0.25">
      <c r="B1178"/>
      <c r="C1178"/>
    </row>
    <row r="1179" spans="2:3" x14ac:dyDescent="0.25">
      <c r="B1179"/>
      <c r="C1179"/>
    </row>
    <row r="1180" spans="2:3" x14ac:dyDescent="0.25">
      <c r="B1180"/>
      <c r="C1180"/>
    </row>
    <row r="1181" spans="2:3" x14ac:dyDescent="0.25">
      <c r="B1181"/>
      <c r="C1181"/>
    </row>
    <row r="1182" spans="2:3" x14ac:dyDescent="0.25">
      <c r="B1182"/>
      <c r="C1182"/>
    </row>
    <row r="1183" spans="2:3" x14ac:dyDescent="0.25">
      <c r="B1183"/>
      <c r="C1183"/>
    </row>
    <row r="1184" spans="2:3" x14ac:dyDescent="0.25">
      <c r="B1184"/>
      <c r="C1184"/>
    </row>
    <row r="1185" spans="2:3" x14ac:dyDescent="0.25">
      <c r="B1185"/>
      <c r="C1185"/>
    </row>
    <row r="1186" spans="2:3" x14ac:dyDescent="0.25">
      <c r="B1186"/>
      <c r="C1186"/>
    </row>
    <row r="1187" spans="2:3" x14ac:dyDescent="0.25">
      <c r="B1187"/>
      <c r="C1187"/>
    </row>
    <row r="1188" spans="2:3" x14ac:dyDescent="0.25">
      <c r="B1188"/>
      <c r="C1188"/>
    </row>
    <row r="1189" spans="2:3" x14ac:dyDescent="0.25">
      <c r="B1189"/>
      <c r="C1189"/>
    </row>
    <row r="1190" spans="2:3" x14ac:dyDescent="0.25">
      <c r="B1190"/>
      <c r="C1190"/>
    </row>
    <row r="1191" spans="2:3" x14ac:dyDescent="0.25">
      <c r="B1191"/>
      <c r="C1191"/>
    </row>
    <row r="1192" spans="2:3" x14ac:dyDescent="0.25">
      <c r="B1192"/>
      <c r="C1192"/>
    </row>
    <row r="1193" spans="2:3" x14ac:dyDescent="0.25">
      <c r="B1193"/>
      <c r="C1193"/>
    </row>
    <row r="1194" spans="2:3" x14ac:dyDescent="0.25">
      <c r="B1194"/>
      <c r="C1194"/>
    </row>
    <row r="1195" spans="2:3" x14ac:dyDescent="0.25">
      <c r="B1195"/>
      <c r="C1195"/>
    </row>
    <row r="1196" spans="2:3" x14ac:dyDescent="0.25">
      <c r="B1196"/>
      <c r="C1196"/>
    </row>
    <row r="1197" spans="2:3" x14ac:dyDescent="0.25">
      <c r="B1197"/>
      <c r="C1197"/>
    </row>
    <row r="1198" spans="2:3" x14ac:dyDescent="0.25">
      <c r="B1198"/>
      <c r="C1198"/>
    </row>
    <row r="1199" spans="2:3" x14ac:dyDescent="0.25">
      <c r="B1199"/>
      <c r="C1199"/>
    </row>
    <row r="1200" spans="2:3" x14ac:dyDescent="0.25">
      <c r="B1200"/>
      <c r="C1200"/>
    </row>
    <row r="1201" spans="2:3" x14ac:dyDescent="0.25">
      <c r="B1201"/>
      <c r="C1201"/>
    </row>
    <row r="1202" spans="2:3" x14ac:dyDescent="0.25">
      <c r="B1202"/>
      <c r="C1202"/>
    </row>
    <row r="1203" spans="2:3" x14ac:dyDescent="0.25">
      <c r="B1203"/>
      <c r="C1203"/>
    </row>
    <row r="1204" spans="2:3" x14ac:dyDescent="0.25">
      <c r="B1204"/>
      <c r="C1204"/>
    </row>
    <row r="1205" spans="2:3" x14ac:dyDescent="0.25">
      <c r="B1205"/>
      <c r="C1205"/>
    </row>
    <row r="1206" spans="2:3" x14ac:dyDescent="0.25">
      <c r="B1206"/>
      <c r="C1206"/>
    </row>
    <row r="1207" spans="2:3" x14ac:dyDescent="0.25">
      <c r="B1207"/>
      <c r="C1207"/>
    </row>
    <row r="1208" spans="2:3" x14ac:dyDescent="0.25">
      <c r="B1208"/>
      <c r="C1208"/>
    </row>
    <row r="1209" spans="2:3" x14ac:dyDescent="0.25">
      <c r="B1209"/>
      <c r="C1209"/>
    </row>
    <row r="1210" spans="2:3" x14ac:dyDescent="0.25">
      <c r="B1210"/>
      <c r="C1210"/>
    </row>
    <row r="1211" spans="2:3" x14ac:dyDescent="0.25">
      <c r="B1211"/>
      <c r="C1211"/>
    </row>
    <row r="1212" spans="2:3" x14ac:dyDescent="0.25">
      <c r="B1212"/>
      <c r="C1212"/>
    </row>
    <row r="1213" spans="2:3" x14ac:dyDescent="0.25">
      <c r="B1213"/>
      <c r="C1213"/>
    </row>
    <row r="1214" spans="2:3" x14ac:dyDescent="0.25">
      <c r="B1214"/>
      <c r="C1214"/>
    </row>
    <row r="1215" spans="2:3" x14ac:dyDescent="0.25">
      <c r="B1215"/>
      <c r="C1215"/>
    </row>
    <row r="1216" spans="2:3" x14ac:dyDescent="0.25">
      <c r="B1216"/>
      <c r="C1216"/>
    </row>
    <row r="1217" spans="2:3" x14ac:dyDescent="0.25">
      <c r="B1217"/>
      <c r="C1217"/>
    </row>
    <row r="1218" spans="2:3" x14ac:dyDescent="0.25">
      <c r="B1218"/>
      <c r="C1218"/>
    </row>
    <row r="1219" spans="2:3" x14ac:dyDescent="0.25">
      <c r="B1219"/>
      <c r="C1219"/>
    </row>
    <row r="1220" spans="2:3" x14ac:dyDescent="0.25">
      <c r="B1220"/>
      <c r="C1220"/>
    </row>
    <row r="1221" spans="2:3" x14ac:dyDescent="0.25">
      <c r="B1221"/>
      <c r="C1221"/>
    </row>
    <row r="1222" spans="2:3" x14ac:dyDescent="0.25">
      <c r="B1222"/>
      <c r="C1222"/>
    </row>
    <row r="1223" spans="2:3" x14ac:dyDescent="0.25">
      <c r="B1223"/>
      <c r="C1223"/>
    </row>
    <row r="1224" spans="2:3" x14ac:dyDescent="0.25">
      <c r="B1224"/>
      <c r="C1224"/>
    </row>
    <row r="1225" spans="2:3" x14ac:dyDescent="0.25">
      <c r="B1225"/>
      <c r="C1225"/>
    </row>
    <row r="1226" spans="2:3" x14ac:dyDescent="0.25">
      <c r="B1226"/>
      <c r="C1226"/>
    </row>
    <row r="1227" spans="2:3" x14ac:dyDescent="0.25">
      <c r="B1227"/>
      <c r="C1227"/>
    </row>
    <row r="1228" spans="2:3" x14ac:dyDescent="0.25">
      <c r="B1228"/>
      <c r="C1228"/>
    </row>
    <row r="1229" spans="2:3" x14ac:dyDescent="0.25">
      <c r="B1229"/>
      <c r="C1229"/>
    </row>
    <row r="1230" spans="2:3" x14ac:dyDescent="0.25">
      <c r="B1230"/>
      <c r="C1230"/>
    </row>
    <row r="1231" spans="2:3" x14ac:dyDescent="0.25">
      <c r="B1231"/>
      <c r="C1231"/>
    </row>
    <row r="1232" spans="2:3" x14ac:dyDescent="0.25">
      <c r="B1232"/>
      <c r="C1232"/>
    </row>
    <row r="1233" spans="2:3" x14ac:dyDescent="0.25">
      <c r="B1233"/>
      <c r="C1233"/>
    </row>
    <row r="1234" spans="2:3" x14ac:dyDescent="0.25">
      <c r="B1234"/>
      <c r="C1234"/>
    </row>
    <row r="1235" spans="2:3" x14ac:dyDescent="0.25">
      <c r="B1235"/>
      <c r="C1235"/>
    </row>
    <row r="1236" spans="2:3" x14ac:dyDescent="0.25">
      <c r="B1236"/>
      <c r="C1236"/>
    </row>
    <row r="1237" spans="2:3" x14ac:dyDescent="0.25">
      <c r="B1237"/>
      <c r="C1237"/>
    </row>
    <row r="1238" spans="2:3" x14ac:dyDescent="0.25">
      <c r="B1238"/>
      <c r="C1238"/>
    </row>
    <row r="1239" spans="2:3" x14ac:dyDescent="0.25">
      <c r="B1239"/>
      <c r="C1239"/>
    </row>
    <row r="1240" spans="2:3" x14ac:dyDescent="0.25">
      <c r="B1240"/>
      <c r="C1240"/>
    </row>
    <row r="1241" spans="2:3" x14ac:dyDescent="0.25">
      <c r="B1241"/>
      <c r="C1241"/>
    </row>
    <row r="1242" spans="2:3" x14ac:dyDescent="0.25">
      <c r="B1242"/>
      <c r="C1242"/>
    </row>
    <row r="1243" spans="2:3" x14ac:dyDescent="0.25">
      <c r="B1243"/>
      <c r="C1243"/>
    </row>
    <row r="1244" spans="2:3" x14ac:dyDescent="0.25">
      <c r="B1244"/>
      <c r="C1244"/>
    </row>
    <row r="1245" spans="2:3" x14ac:dyDescent="0.25">
      <c r="B1245"/>
      <c r="C1245"/>
    </row>
    <row r="1246" spans="2:3" x14ac:dyDescent="0.25">
      <c r="B1246"/>
      <c r="C1246"/>
    </row>
    <row r="1247" spans="2:3" x14ac:dyDescent="0.25">
      <c r="B1247"/>
      <c r="C1247"/>
    </row>
    <row r="1248" spans="2:3" x14ac:dyDescent="0.25">
      <c r="B1248"/>
      <c r="C1248"/>
    </row>
    <row r="1249" spans="2:3" x14ac:dyDescent="0.25">
      <c r="B1249"/>
      <c r="C1249"/>
    </row>
    <row r="1250" spans="2:3" x14ac:dyDescent="0.25">
      <c r="B1250"/>
      <c r="C1250"/>
    </row>
    <row r="1251" spans="2:3" x14ac:dyDescent="0.25">
      <c r="B1251"/>
      <c r="C1251"/>
    </row>
    <row r="1252" spans="2:3" x14ac:dyDescent="0.25">
      <c r="B1252"/>
      <c r="C1252"/>
    </row>
    <row r="1253" spans="2:3" x14ac:dyDescent="0.25">
      <c r="B1253"/>
      <c r="C1253"/>
    </row>
    <row r="1254" spans="2:3" x14ac:dyDescent="0.25">
      <c r="B1254"/>
      <c r="C1254"/>
    </row>
    <row r="1255" spans="2:3" x14ac:dyDescent="0.25">
      <c r="B1255"/>
      <c r="C1255"/>
    </row>
    <row r="1256" spans="2:3" x14ac:dyDescent="0.25">
      <c r="B1256"/>
      <c r="C1256"/>
    </row>
    <row r="1257" spans="2:3" x14ac:dyDescent="0.25">
      <c r="B1257"/>
      <c r="C1257"/>
    </row>
    <row r="1258" spans="2:3" x14ac:dyDescent="0.25">
      <c r="B1258"/>
      <c r="C1258"/>
    </row>
    <row r="1259" spans="2:3" x14ac:dyDescent="0.25">
      <c r="B1259"/>
      <c r="C1259"/>
    </row>
    <row r="1260" spans="2:3" x14ac:dyDescent="0.25">
      <c r="B1260"/>
      <c r="C1260"/>
    </row>
    <row r="1261" spans="2:3" x14ac:dyDescent="0.25">
      <c r="B1261"/>
      <c r="C1261"/>
    </row>
    <row r="1262" spans="2:3" x14ac:dyDescent="0.25">
      <c r="B1262"/>
      <c r="C1262"/>
    </row>
    <row r="1263" spans="2:3" x14ac:dyDescent="0.25">
      <c r="B1263"/>
      <c r="C1263"/>
    </row>
    <row r="1264" spans="2:3" x14ac:dyDescent="0.25">
      <c r="B1264"/>
      <c r="C1264"/>
    </row>
    <row r="1265" spans="2:3" x14ac:dyDescent="0.25">
      <c r="B1265"/>
      <c r="C1265"/>
    </row>
    <row r="1266" spans="2:3" x14ac:dyDescent="0.25">
      <c r="B1266"/>
      <c r="C1266"/>
    </row>
    <row r="1267" spans="2:3" x14ac:dyDescent="0.25">
      <c r="B1267"/>
      <c r="C1267"/>
    </row>
    <row r="1268" spans="2:3" x14ac:dyDescent="0.25">
      <c r="B1268"/>
      <c r="C1268"/>
    </row>
    <row r="1269" spans="2:3" x14ac:dyDescent="0.25">
      <c r="B1269"/>
      <c r="C1269"/>
    </row>
    <row r="1270" spans="2:3" x14ac:dyDescent="0.25">
      <c r="B1270"/>
      <c r="C1270"/>
    </row>
    <row r="1271" spans="2:3" x14ac:dyDescent="0.25">
      <c r="B1271"/>
      <c r="C1271"/>
    </row>
    <row r="1272" spans="2:3" x14ac:dyDescent="0.25">
      <c r="B1272"/>
      <c r="C1272"/>
    </row>
    <row r="1273" spans="2:3" x14ac:dyDescent="0.25">
      <c r="B1273"/>
      <c r="C1273"/>
    </row>
    <row r="1274" spans="2:3" x14ac:dyDescent="0.25">
      <c r="B1274"/>
      <c r="C1274"/>
    </row>
    <row r="1275" spans="2:3" x14ac:dyDescent="0.25">
      <c r="B1275"/>
      <c r="C1275"/>
    </row>
    <row r="1276" spans="2:3" x14ac:dyDescent="0.25">
      <c r="B1276"/>
      <c r="C1276"/>
    </row>
    <row r="1277" spans="2:3" x14ac:dyDescent="0.25">
      <c r="B1277"/>
      <c r="C1277"/>
    </row>
    <row r="1278" spans="2:3" x14ac:dyDescent="0.25">
      <c r="B1278"/>
      <c r="C1278"/>
    </row>
    <row r="1279" spans="2:3" x14ac:dyDescent="0.25">
      <c r="B1279"/>
      <c r="C1279"/>
    </row>
    <row r="1280" spans="2:3" x14ac:dyDescent="0.25">
      <c r="B1280"/>
      <c r="C1280"/>
    </row>
    <row r="1281" spans="2:3" x14ac:dyDescent="0.25">
      <c r="B1281"/>
      <c r="C1281"/>
    </row>
    <row r="1282" spans="2:3" x14ac:dyDescent="0.25">
      <c r="B1282"/>
      <c r="C1282"/>
    </row>
    <row r="1283" spans="2:3" x14ac:dyDescent="0.25">
      <c r="B1283"/>
      <c r="C1283"/>
    </row>
    <row r="1284" spans="2:3" x14ac:dyDescent="0.25">
      <c r="B1284"/>
      <c r="C1284"/>
    </row>
    <row r="1285" spans="2:3" x14ac:dyDescent="0.25">
      <c r="B1285"/>
      <c r="C1285"/>
    </row>
    <row r="1286" spans="2:3" x14ac:dyDescent="0.25">
      <c r="B1286"/>
      <c r="C1286"/>
    </row>
    <row r="1287" spans="2:3" x14ac:dyDescent="0.25">
      <c r="B1287"/>
      <c r="C1287"/>
    </row>
    <row r="1288" spans="2:3" x14ac:dyDescent="0.25">
      <c r="B1288"/>
      <c r="C1288"/>
    </row>
    <row r="1289" spans="2:3" x14ac:dyDescent="0.25">
      <c r="B1289"/>
      <c r="C1289"/>
    </row>
    <row r="1290" spans="2:3" x14ac:dyDescent="0.25">
      <c r="B1290"/>
      <c r="C1290"/>
    </row>
    <row r="1291" spans="2:3" x14ac:dyDescent="0.25">
      <c r="B1291"/>
      <c r="C1291"/>
    </row>
    <row r="1292" spans="2:3" x14ac:dyDescent="0.25">
      <c r="B1292"/>
      <c r="C1292"/>
    </row>
    <row r="1293" spans="2:3" x14ac:dyDescent="0.25">
      <c r="B1293"/>
      <c r="C1293"/>
    </row>
    <row r="1294" spans="2:3" x14ac:dyDescent="0.25">
      <c r="B1294"/>
      <c r="C1294"/>
    </row>
    <row r="1295" spans="2:3" x14ac:dyDescent="0.25">
      <c r="B1295"/>
      <c r="C1295"/>
    </row>
    <row r="1296" spans="2:3" x14ac:dyDescent="0.25">
      <c r="B1296"/>
      <c r="C1296"/>
    </row>
    <row r="1297" spans="2:3" x14ac:dyDescent="0.25">
      <c r="B1297"/>
      <c r="C1297"/>
    </row>
    <row r="1298" spans="2:3" x14ac:dyDescent="0.25">
      <c r="B1298"/>
      <c r="C1298"/>
    </row>
    <row r="1299" spans="2:3" x14ac:dyDescent="0.25">
      <c r="B1299"/>
      <c r="C1299"/>
    </row>
    <row r="1300" spans="2:3" x14ac:dyDescent="0.25">
      <c r="B1300"/>
      <c r="C1300"/>
    </row>
    <row r="1301" spans="2:3" x14ac:dyDescent="0.25">
      <c r="B1301"/>
      <c r="C1301"/>
    </row>
    <row r="1302" spans="2:3" x14ac:dyDescent="0.25">
      <c r="B1302"/>
      <c r="C1302"/>
    </row>
    <row r="1303" spans="2:3" x14ac:dyDescent="0.25">
      <c r="B1303"/>
      <c r="C1303"/>
    </row>
    <row r="1304" spans="2:3" x14ac:dyDescent="0.25">
      <c r="B1304"/>
      <c r="C1304"/>
    </row>
    <row r="1305" spans="2:3" x14ac:dyDescent="0.25">
      <c r="B1305"/>
      <c r="C1305"/>
    </row>
    <row r="1306" spans="2:3" x14ac:dyDescent="0.25">
      <c r="B1306"/>
      <c r="C1306"/>
    </row>
    <row r="1307" spans="2:3" x14ac:dyDescent="0.25">
      <c r="B1307"/>
      <c r="C1307"/>
    </row>
    <row r="1308" spans="2:3" x14ac:dyDescent="0.25">
      <c r="B1308"/>
      <c r="C1308"/>
    </row>
    <row r="1309" spans="2:3" x14ac:dyDescent="0.25">
      <c r="B1309"/>
      <c r="C1309"/>
    </row>
    <row r="1310" spans="2:3" x14ac:dyDescent="0.25">
      <c r="B1310"/>
      <c r="C1310"/>
    </row>
    <row r="1311" spans="2:3" x14ac:dyDescent="0.25">
      <c r="B1311"/>
      <c r="C1311"/>
    </row>
    <row r="1312" spans="2:3" x14ac:dyDescent="0.25">
      <c r="B1312"/>
      <c r="C1312"/>
    </row>
    <row r="1313" spans="2:3" x14ac:dyDescent="0.25">
      <c r="B1313"/>
      <c r="C1313"/>
    </row>
    <row r="1314" spans="2:3" x14ac:dyDescent="0.25">
      <c r="B1314"/>
      <c r="C1314"/>
    </row>
    <row r="1315" spans="2:3" x14ac:dyDescent="0.25">
      <c r="B1315"/>
      <c r="C1315"/>
    </row>
    <row r="1316" spans="2:3" x14ac:dyDescent="0.25">
      <c r="B1316"/>
      <c r="C1316"/>
    </row>
    <row r="1317" spans="2:3" x14ac:dyDescent="0.25">
      <c r="B1317"/>
      <c r="C1317"/>
    </row>
    <row r="1318" spans="2:3" x14ac:dyDescent="0.25">
      <c r="B1318"/>
      <c r="C1318"/>
    </row>
    <row r="1319" spans="2:3" x14ac:dyDescent="0.25">
      <c r="B1319"/>
      <c r="C1319"/>
    </row>
    <row r="1320" spans="2:3" x14ac:dyDescent="0.25">
      <c r="B1320"/>
      <c r="C1320"/>
    </row>
    <row r="1321" spans="2:3" x14ac:dyDescent="0.25">
      <c r="B1321"/>
      <c r="C1321"/>
    </row>
    <row r="1322" spans="2:3" x14ac:dyDescent="0.25">
      <c r="B1322"/>
      <c r="C1322"/>
    </row>
    <row r="1323" spans="2:3" x14ac:dyDescent="0.25">
      <c r="B1323"/>
      <c r="C1323"/>
    </row>
    <row r="1324" spans="2:3" x14ac:dyDescent="0.25">
      <c r="B1324"/>
      <c r="C1324"/>
    </row>
    <row r="1325" spans="2:3" x14ac:dyDescent="0.25">
      <c r="B1325"/>
      <c r="C1325"/>
    </row>
    <row r="1326" spans="2:3" x14ac:dyDescent="0.25">
      <c r="B1326"/>
      <c r="C1326"/>
    </row>
    <row r="1327" spans="2:3" x14ac:dyDescent="0.25">
      <c r="B1327"/>
      <c r="C1327"/>
    </row>
    <row r="1328" spans="2:3" x14ac:dyDescent="0.25">
      <c r="B1328"/>
      <c r="C1328"/>
    </row>
    <row r="1329" spans="2:3" x14ac:dyDescent="0.25">
      <c r="B1329"/>
      <c r="C1329"/>
    </row>
    <row r="1330" spans="2:3" x14ac:dyDescent="0.25">
      <c r="B1330"/>
      <c r="C1330"/>
    </row>
    <row r="1331" spans="2:3" x14ac:dyDescent="0.25">
      <c r="B1331"/>
      <c r="C1331"/>
    </row>
    <row r="1332" spans="2:3" x14ac:dyDescent="0.25">
      <c r="B1332"/>
      <c r="C1332"/>
    </row>
    <row r="1333" spans="2:3" x14ac:dyDescent="0.25">
      <c r="B1333"/>
      <c r="C1333"/>
    </row>
    <row r="1334" spans="2:3" x14ac:dyDescent="0.25">
      <c r="B1334"/>
      <c r="C1334"/>
    </row>
    <row r="1335" spans="2:3" x14ac:dyDescent="0.25">
      <c r="B1335"/>
      <c r="C1335"/>
    </row>
    <row r="1336" spans="2:3" x14ac:dyDescent="0.25">
      <c r="B1336"/>
      <c r="C1336"/>
    </row>
    <row r="1337" spans="2:3" x14ac:dyDescent="0.25">
      <c r="B1337"/>
      <c r="C1337"/>
    </row>
    <row r="1338" spans="2:3" x14ac:dyDescent="0.25">
      <c r="B1338"/>
      <c r="C1338"/>
    </row>
    <row r="1339" spans="2:3" x14ac:dyDescent="0.25">
      <c r="B1339"/>
      <c r="C1339"/>
    </row>
    <row r="1340" spans="2:3" x14ac:dyDescent="0.25">
      <c r="B1340"/>
      <c r="C1340"/>
    </row>
    <row r="1341" spans="2:3" x14ac:dyDescent="0.25">
      <c r="B1341"/>
      <c r="C1341"/>
    </row>
    <row r="1342" spans="2:3" x14ac:dyDescent="0.25">
      <c r="B1342"/>
      <c r="C1342"/>
    </row>
    <row r="1343" spans="2:3" x14ac:dyDescent="0.25">
      <c r="B1343"/>
      <c r="C1343"/>
    </row>
    <row r="1344" spans="2:3" x14ac:dyDescent="0.25">
      <c r="B1344"/>
      <c r="C1344"/>
    </row>
    <row r="1345" spans="2:3" x14ac:dyDescent="0.25">
      <c r="B1345"/>
      <c r="C1345"/>
    </row>
    <row r="1346" spans="2:3" x14ac:dyDescent="0.25">
      <c r="B1346"/>
      <c r="C1346"/>
    </row>
    <row r="1347" spans="2:3" x14ac:dyDescent="0.25">
      <c r="B1347"/>
      <c r="C1347"/>
    </row>
    <row r="1348" spans="2:3" x14ac:dyDescent="0.25">
      <c r="B1348"/>
      <c r="C1348"/>
    </row>
    <row r="1349" spans="2:3" x14ac:dyDescent="0.25">
      <c r="B1349"/>
      <c r="C1349"/>
    </row>
    <row r="1350" spans="2:3" x14ac:dyDescent="0.25">
      <c r="B1350"/>
      <c r="C1350"/>
    </row>
    <row r="1351" spans="2:3" x14ac:dyDescent="0.25">
      <c r="B1351"/>
      <c r="C1351"/>
    </row>
    <row r="1352" spans="2:3" x14ac:dyDescent="0.25">
      <c r="B1352"/>
      <c r="C1352"/>
    </row>
    <row r="1353" spans="2:3" x14ac:dyDescent="0.25">
      <c r="B1353"/>
      <c r="C1353"/>
    </row>
    <row r="1354" spans="2:3" x14ac:dyDescent="0.25">
      <c r="B1354"/>
      <c r="C1354"/>
    </row>
    <row r="1355" spans="2:3" x14ac:dyDescent="0.25">
      <c r="B1355"/>
      <c r="C1355"/>
    </row>
    <row r="1356" spans="2:3" x14ac:dyDescent="0.25">
      <c r="B1356"/>
      <c r="C1356"/>
    </row>
    <row r="1357" spans="2:3" x14ac:dyDescent="0.25">
      <c r="B1357"/>
      <c r="C1357"/>
    </row>
    <row r="1358" spans="2:3" x14ac:dyDescent="0.25">
      <c r="B1358"/>
      <c r="C1358"/>
    </row>
    <row r="1359" spans="2:3" x14ac:dyDescent="0.25">
      <c r="B1359"/>
      <c r="C1359"/>
    </row>
    <row r="1360" spans="2:3" x14ac:dyDescent="0.25">
      <c r="B1360"/>
      <c r="C1360"/>
    </row>
    <row r="1361" spans="2:3" x14ac:dyDescent="0.25">
      <c r="B1361"/>
      <c r="C1361"/>
    </row>
    <row r="1362" spans="2:3" x14ac:dyDescent="0.25">
      <c r="B1362"/>
      <c r="C1362"/>
    </row>
    <row r="1363" spans="2:3" x14ac:dyDescent="0.25">
      <c r="B1363"/>
      <c r="C1363"/>
    </row>
    <row r="1364" spans="2:3" x14ac:dyDescent="0.25">
      <c r="B1364"/>
      <c r="C1364"/>
    </row>
    <row r="1365" spans="2:3" x14ac:dyDescent="0.25">
      <c r="B1365"/>
      <c r="C1365"/>
    </row>
    <row r="1366" spans="2:3" x14ac:dyDescent="0.25">
      <c r="B1366"/>
      <c r="C1366"/>
    </row>
    <row r="1367" spans="2:3" x14ac:dyDescent="0.25">
      <c r="B1367"/>
      <c r="C1367"/>
    </row>
    <row r="1368" spans="2:3" x14ac:dyDescent="0.25">
      <c r="B1368"/>
      <c r="C1368"/>
    </row>
    <row r="1369" spans="2:3" x14ac:dyDescent="0.25">
      <c r="B1369"/>
      <c r="C1369"/>
    </row>
    <row r="1370" spans="2:3" x14ac:dyDescent="0.25">
      <c r="B1370"/>
      <c r="C1370"/>
    </row>
    <row r="1371" spans="2:3" x14ac:dyDescent="0.25">
      <c r="B1371"/>
      <c r="C1371"/>
    </row>
    <row r="1372" spans="2:3" x14ac:dyDescent="0.25">
      <c r="B1372"/>
      <c r="C1372"/>
    </row>
    <row r="1373" spans="2:3" x14ac:dyDescent="0.25">
      <c r="B1373"/>
      <c r="C1373"/>
    </row>
    <row r="1374" spans="2:3" x14ac:dyDescent="0.25">
      <c r="B1374"/>
      <c r="C1374"/>
    </row>
    <row r="1375" spans="2:3" x14ac:dyDescent="0.25">
      <c r="B1375"/>
      <c r="C1375"/>
    </row>
    <row r="1376" spans="2:3" x14ac:dyDescent="0.25">
      <c r="B1376"/>
      <c r="C1376"/>
    </row>
    <row r="1377" spans="2:3" x14ac:dyDescent="0.25">
      <c r="B1377"/>
      <c r="C1377"/>
    </row>
    <row r="1378" spans="2:3" x14ac:dyDescent="0.25">
      <c r="B1378"/>
      <c r="C1378"/>
    </row>
    <row r="1379" spans="2:3" x14ac:dyDescent="0.25">
      <c r="B1379"/>
      <c r="C1379"/>
    </row>
    <row r="1380" spans="2:3" x14ac:dyDescent="0.25">
      <c r="B1380"/>
      <c r="C1380"/>
    </row>
    <row r="1381" spans="2:3" x14ac:dyDescent="0.25">
      <c r="B1381"/>
      <c r="C1381"/>
    </row>
    <row r="1382" spans="2:3" x14ac:dyDescent="0.25">
      <c r="B1382"/>
      <c r="C1382"/>
    </row>
    <row r="1383" spans="2:3" x14ac:dyDescent="0.25">
      <c r="B1383"/>
      <c r="C1383"/>
    </row>
    <row r="1384" spans="2:3" x14ac:dyDescent="0.25">
      <c r="B1384"/>
      <c r="C1384"/>
    </row>
    <row r="1385" spans="2:3" x14ac:dyDescent="0.25">
      <c r="B1385"/>
      <c r="C1385"/>
    </row>
    <row r="1386" spans="2:3" x14ac:dyDescent="0.25">
      <c r="B1386"/>
      <c r="C1386"/>
    </row>
    <row r="1387" spans="2:3" x14ac:dyDescent="0.25">
      <c r="B1387"/>
      <c r="C1387"/>
    </row>
    <row r="1388" spans="2:3" x14ac:dyDescent="0.25">
      <c r="B1388"/>
      <c r="C1388"/>
    </row>
    <row r="1389" spans="2:3" x14ac:dyDescent="0.25">
      <c r="B1389"/>
      <c r="C1389"/>
    </row>
    <row r="1390" spans="2:3" x14ac:dyDescent="0.25">
      <c r="B1390"/>
      <c r="C1390"/>
    </row>
    <row r="1391" spans="2:3" x14ac:dyDescent="0.25">
      <c r="B1391"/>
      <c r="C1391"/>
    </row>
    <row r="1392" spans="2:3" x14ac:dyDescent="0.25">
      <c r="B1392"/>
      <c r="C1392"/>
    </row>
    <row r="1393" spans="2:3" x14ac:dyDescent="0.25">
      <c r="B1393"/>
      <c r="C1393"/>
    </row>
    <row r="1394" spans="2:3" x14ac:dyDescent="0.25">
      <c r="B1394"/>
      <c r="C1394"/>
    </row>
    <row r="1395" spans="2:3" x14ac:dyDescent="0.25">
      <c r="B1395"/>
      <c r="C1395"/>
    </row>
    <row r="1396" spans="2:3" x14ac:dyDescent="0.25">
      <c r="B1396"/>
      <c r="C1396"/>
    </row>
    <row r="1397" spans="2:3" x14ac:dyDescent="0.25">
      <c r="B1397"/>
      <c r="C1397"/>
    </row>
    <row r="1398" spans="2:3" x14ac:dyDescent="0.25">
      <c r="B1398"/>
      <c r="C1398"/>
    </row>
    <row r="1399" spans="2:3" x14ac:dyDescent="0.25">
      <c r="B1399"/>
      <c r="C1399"/>
    </row>
    <row r="1400" spans="2:3" x14ac:dyDescent="0.25">
      <c r="B1400"/>
      <c r="C1400"/>
    </row>
    <row r="1401" spans="2:3" x14ac:dyDescent="0.25">
      <c r="B1401"/>
      <c r="C1401"/>
    </row>
    <row r="1402" spans="2:3" x14ac:dyDescent="0.25">
      <c r="B1402"/>
      <c r="C1402"/>
    </row>
    <row r="1403" spans="2:3" x14ac:dyDescent="0.25">
      <c r="B1403"/>
      <c r="C1403"/>
    </row>
    <row r="1404" spans="2:3" x14ac:dyDescent="0.25">
      <c r="B1404"/>
      <c r="C1404"/>
    </row>
    <row r="1405" spans="2:3" x14ac:dyDescent="0.25">
      <c r="B1405"/>
      <c r="C1405"/>
    </row>
    <row r="1406" spans="2:3" x14ac:dyDescent="0.25">
      <c r="B1406"/>
      <c r="C1406"/>
    </row>
    <row r="1407" spans="2:3" x14ac:dyDescent="0.25">
      <c r="B1407"/>
      <c r="C1407"/>
    </row>
    <row r="1408" spans="2:3" x14ac:dyDescent="0.25">
      <c r="B1408"/>
      <c r="C1408"/>
    </row>
    <row r="1409" spans="2:3" x14ac:dyDescent="0.25">
      <c r="B1409"/>
      <c r="C1409"/>
    </row>
    <row r="1410" spans="2:3" x14ac:dyDescent="0.25">
      <c r="B1410"/>
      <c r="C1410"/>
    </row>
    <row r="1411" spans="2:3" x14ac:dyDescent="0.25">
      <c r="B1411"/>
      <c r="C1411"/>
    </row>
    <row r="1412" spans="2:3" x14ac:dyDescent="0.25">
      <c r="B1412"/>
      <c r="C1412"/>
    </row>
    <row r="1413" spans="2:3" x14ac:dyDescent="0.25">
      <c r="B1413"/>
      <c r="C1413"/>
    </row>
    <row r="1414" spans="2:3" x14ac:dyDescent="0.25">
      <c r="B1414"/>
      <c r="C1414"/>
    </row>
    <row r="1415" spans="2:3" x14ac:dyDescent="0.25">
      <c r="B1415"/>
      <c r="C1415"/>
    </row>
    <row r="1416" spans="2:3" x14ac:dyDescent="0.25">
      <c r="B1416"/>
      <c r="C1416"/>
    </row>
    <row r="1417" spans="2:3" x14ac:dyDescent="0.25">
      <c r="B1417"/>
      <c r="C1417"/>
    </row>
    <row r="1418" spans="2:3" x14ac:dyDescent="0.25">
      <c r="B1418"/>
      <c r="C1418"/>
    </row>
    <row r="1419" spans="2:3" x14ac:dyDescent="0.25">
      <c r="B1419"/>
      <c r="C1419"/>
    </row>
    <row r="1420" spans="2:3" x14ac:dyDescent="0.25">
      <c r="B1420"/>
      <c r="C1420"/>
    </row>
    <row r="1421" spans="2:3" x14ac:dyDescent="0.25">
      <c r="B1421"/>
      <c r="C1421"/>
    </row>
    <row r="1422" spans="2:3" x14ac:dyDescent="0.25">
      <c r="B1422"/>
      <c r="C1422"/>
    </row>
    <row r="1423" spans="2:3" x14ac:dyDescent="0.25">
      <c r="B1423"/>
      <c r="C1423"/>
    </row>
    <row r="1424" spans="2:3" x14ac:dyDescent="0.25">
      <c r="B1424"/>
      <c r="C1424"/>
    </row>
    <row r="1425" spans="2:3" x14ac:dyDescent="0.25">
      <c r="B1425"/>
      <c r="C1425"/>
    </row>
    <row r="1426" spans="2:3" x14ac:dyDescent="0.25">
      <c r="B1426"/>
      <c r="C1426"/>
    </row>
    <row r="1427" spans="2:3" x14ac:dyDescent="0.25">
      <c r="B1427"/>
      <c r="C1427"/>
    </row>
    <row r="1428" spans="2:3" x14ac:dyDescent="0.25">
      <c r="B1428"/>
      <c r="C1428"/>
    </row>
    <row r="1429" spans="2:3" x14ac:dyDescent="0.25">
      <c r="B1429"/>
      <c r="C1429"/>
    </row>
    <row r="1430" spans="2:3" x14ac:dyDescent="0.25">
      <c r="B1430"/>
      <c r="C1430"/>
    </row>
    <row r="1431" spans="2:3" x14ac:dyDescent="0.25">
      <c r="B1431"/>
      <c r="C1431"/>
    </row>
    <row r="1432" spans="2:3" x14ac:dyDescent="0.25">
      <c r="B1432"/>
      <c r="C1432"/>
    </row>
    <row r="1433" spans="2:3" x14ac:dyDescent="0.25">
      <c r="B1433"/>
      <c r="C1433"/>
    </row>
    <row r="1434" spans="2:3" x14ac:dyDescent="0.25">
      <c r="B1434"/>
      <c r="C1434"/>
    </row>
    <row r="1435" spans="2:3" x14ac:dyDescent="0.25">
      <c r="B1435"/>
      <c r="C1435"/>
    </row>
    <row r="1436" spans="2:3" x14ac:dyDescent="0.25">
      <c r="B1436"/>
      <c r="C1436"/>
    </row>
    <row r="1437" spans="2:3" x14ac:dyDescent="0.25">
      <c r="B1437"/>
      <c r="C1437"/>
    </row>
    <row r="1438" spans="2:3" x14ac:dyDescent="0.25">
      <c r="B1438"/>
      <c r="C1438"/>
    </row>
    <row r="1439" spans="2:3" x14ac:dyDescent="0.25">
      <c r="B1439"/>
      <c r="C1439"/>
    </row>
    <row r="1440" spans="2:3" x14ac:dyDescent="0.25">
      <c r="B1440"/>
      <c r="C1440"/>
    </row>
    <row r="1441" spans="2:3" x14ac:dyDescent="0.25">
      <c r="B1441"/>
      <c r="C1441"/>
    </row>
    <row r="1442" spans="2:3" x14ac:dyDescent="0.25">
      <c r="B1442"/>
      <c r="C1442"/>
    </row>
    <row r="1443" spans="2:3" x14ac:dyDescent="0.25">
      <c r="B1443"/>
      <c r="C1443"/>
    </row>
    <row r="1444" spans="2:3" x14ac:dyDescent="0.25">
      <c r="B1444"/>
      <c r="C1444"/>
    </row>
    <row r="1445" spans="2:3" x14ac:dyDescent="0.25">
      <c r="B1445"/>
      <c r="C1445"/>
    </row>
    <row r="1446" spans="2:3" x14ac:dyDescent="0.25">
      <c r="B1446"/>
      <c r="C1446"/>
    </row>
    <row r="1447" spans="2:3" x14ac:dyDescent="0.25">
      <c r="B1447"/>
      <c r="C1447"/>
    </row>
    <row r="1448" spans="2:3" x14ac:dyDescent="0.25">
      <c r="B1448"/>
      <c r="C1448"/>
    </row>
    <row r="1449" spans="2:3" x14ac:dyDescent="0.25">
      <c r="B1449"/>
      <c r="C1449"/>
    </row>
    <row r="1450" spans="2:3" x14ac:dyDescent="0.25">
      <c r="B1450"/>
      <c r="C1450"/>
    </row>
    <row r="1451" spans="2:3" x14ac:dyDescent="0.25">
      <c r="B1451"/>
      <c r="C1451"/>
    </row>
    <row r="1452" spans="2:3" x14ac:dyDescent="0.25">
      <c r="B1452"/>
      <c r="C1452"/>
    </row>
    <row r="1453" spans="2:3" x14ac:dyDescent="0.25">
      <c r="B1453"/>
      <c r="C1453"/>
    </row>
    <row r="1454" spans="2:3" x14ac:dyDescent="0.25">
      <c r="B1454"/>
      <c r="C1454"/>
    </row>
    <row r="1455" spans="2:3" x14ac:dyDescent="0.25">
      <c r="B1455"/>
      <c r="C1455"/>
    </row>
    <row r="1456" spans="2:3" x14ac:dyDescent="0.25">
      <c r="B1456"/>
      <c r="C1456"/>
    </row>
    <row r="1457" spans="2:3" x14ac:dyDescent="0.25">
      <c r="B1457"/>
      <c r="C1457"/>
    </row>
    <row r="1458" spans="2:3" x14ac:dyDescent="0.25">
      <c r="B1458"/>
      <c r="C1458"/>
    </row>
    <row r="1459" spans="2:3" x14ac:dyDescent="0.25">
      <c r="B1459"/>
      <c r="C1459"/>
    </row>
    <row r="1460" spans="2:3" x14ac:dyDescent="0.25">
      <c r="B1460"/>
      <c r="C1460"/>
    </row>
    <row r="1461" spans="2:3" x14ac:dyDescent="0.25">
      <c r="B1461"/>
      <c r="C1461"/>
    </row>
    <row r="1462" spans="2:3" x14ac:dyDescent="0.25">
      <c r="B1462"/>
      <c r="C1462"/>
    </row>
    <row r="1463" spans="2:3" x14ac:dyDescent="0.25">
      <c r="B1463"/>
      <c r="C1463"/>
    </row>
    <row r="1464" spans="2:3" x14ac:dyDescent="0.25">
      <c r="B1464"/>
      <c r="C1464"/>
    </row>
    <row r="1465" spans="2:3" x14ac:dyDescent="0.25">
      <c r="B1465"/>
      <c r="C1465"/>
    </row>
    <row r="1466" spans="2:3" x14ac:dyDescent="0.25">
      <c r="B1466"/>
      <c r="C1466"/>
    </row>
    <row r="1467" spans="2:3" x14ac:dyDescent="0.25">
      <c r="B1467"/>
      <c r="C1467"/>
    </row>
    <row r="1468" spans="2:3" x14ac:dyDescent="0.25">
      <c r="B1468"/>
      <c r="C1468"/>
    </row>
    <row r="1469" spans="2:3" x14ac:dyDescent="0.25">
      <c r="B1469"/>
      <c r="C1469"/>
    </row>
    <row r="1470" spans="2:3" x14ac:dyDescent="0.25">
      <c r="B1470"/>
      <c r="C1470"/>
    </row>
    <row r="1471" spans="2:3" x14ac:dyDescent="0.25">
      <c r="B1471"/>
      <c r="C1471"/>
    </row>
    <row r="1472" spans="2:3" x14ac:dyDescent="0.25">
      <c r="B1472"/>
      <c r="C1472"/>
    </row>
    <row r="1473" spans="2:3" x14ac:dyDescent="0.25">
      <c r="B1473"/>
      <c r="C1473"/>
    </row>
    <row r="1474" spans="2:3" x14ac:dyDescent="0.25">
      <c r="B1474"/>
      <c r="C1474"/>
    </row>
    <row r="1475" spans="2:3" x14ac:dyDescent="0.25">
      <c r="B1475"/>
      <c r="C1475"/>
    </row>
    <row r="1476" spans="2:3" x14ac:dyDescent="0.25">
      <c r="B1476"/>
      <c r="C1476"/>
    </row>
    <row r="1477" spans="2:3" x14ac:dyDescent="0.25">
      <c r="B1477"/>
      <c r="C1477"/>
    </row>
    <row r="1478" spans="2:3" x14ac:dyDescent="0.25">
      <c r="B1478"/>
      <c r="C1478"/>
    </row>
    <row r="1479" spans="2:3" x14ac:dyDescent="0.25">
      <c r="B1479"/>
      <c r="C1479"/>
    </row>
    <row r="1480" spans="2:3" x14ac:dyDescent="0.25">
      <c r="B1480"/>
      <c r="C1480"/>
    </row>
    <row r="1481" spans="2:3" x14ac:dyDescent="0.25">
      <c r="B1481"/>
      <c r="C1481"/>
    </row>
    <row r="1482" spans="2:3" x14ac:dyDescent="0.25">
      <c r="B1482"/>
      <c r="C1482"/>
    </row>
    <row r="1483" spans="2:3" x14ac:dyDescent="0.25">
      <c r="B1483"/>
      <c r="C1483"/>
    </row>
    <row r="1484" spans="2:3" x14ac:dyDescent="0.25">
      <c r="B1484"/>
      <c r="C1484"/>
    </row>
    <row r="1485" spans="2:3" x14ac:dyDescent="0.25">
      <c r="B1485"/>
      <c r="C1485"/>
    </row>
    <row r="1486" spans="2:3" x14ac:dyDescent="0.25">
      <c r="B1486"/>
      <c r="C1486"/>
    </row>
    <row r="1487" spans="2:3" x14ac:dyDescent="0.25">
      <c r="B1487"/>
      <c r="C1487"/>
    </row>
    <row r="1488" spans="2:3" x14ac:dyDescent="0.25">
      <c r="B1488"/>
      <c r="C1488"/>
    </row>
    <row r="1489" spans="2:3" x14ac:dyDescent="0.25">
      <c r="B1489"/>
      <c r="C1489"/>
    </row>
    <row r="1490" spans="2:3" x14ac:dyDescent="0.25">
      <c r="B1490"/>
      <c r="C1490"/>
    </row>
    <row r="1491" spans="2:3" x14ac:dyDescent="0.25">
      <c r="B1491"/>
      <c r="C1491"/>
    </row>
    <row r="1492" spans="2:3" x14ac:dyDescent="0.25">
      <c r="B1492"/>
      <c r="C1492"/>
    </row>
    <row r="1493" spans="2:3" x14ac:dyDescent="0.25">
      <c r="B1493"/>
      <c r="C1493"/>
    </row>
    <row r="1494" spans="2:3" x14ac:dyDescent="0.25">
      <c r="B1494"/>
      <c r="C1494"/>
    </row>
    <row r="1495" spans="2:3" x14ac:dyDescent="0.25">
      <c r="B1495"/>
      <c r="C1495"/>
    </row>
    <row r="1496" spans="2:3" x14ac:dyDescent="0.25">
      <c r="B1496"/>
      <c r="C1496"/>
    </row>
    <row r="1497" spans="2:3" x14ac:dyDescent="0.25">
      <c r="B1497"/>
      <c r="C1497"/>
    </row>
    <row r="1498" spans="2:3" x14ac:dyDescent="0.25">
      <c r="B1498"/>
      <c r="C1498"/>
    </row>
    <row r="1499" spans="2:3" x14ac:dyDescent="0.25">
      <c r="B1499"/>
      <c r="C1499"/>
    </row>
    <row r="1500" spans="2:3" x14ac:dyDescent="0.25">
      <c r="B1500"/>
      <c r="C1500"/>
    </row>
    <row r="1501" spans="2:3" x14ac:dyDescent="0.25">
      <c r="B1501"/>
      <c r="C1501"/>
    </row>
    <row r="1502" spans="2:3" x14ac:dyDescent="0.25">
      <c r="B1502"/>
      <c r="C1502"/>
    </row>
    <row r="1503" spans="2:3" x14ac:dyDescent="0.25">
      <c r="B1503"/>
      <c r="C1503"/>
    </row>
    <row r="1504" spans="2:3" x14ac:dyDescent="0.25">
      <c r="B1504"/>
      <c r="C1504"/>
    </row>
    <row r="1505" spans="2:3" x14ac:dyDescent="0.25">
      <c r="B1505"/>
      <c r="C1505"/>
    </row>
    <row r="1506" spans="2:3" x14ac:dyDescent="0.25">
      <c r="B1506"/>
      <c r="C1506"/>
    </row>
    <row r="1507" spans="2:3" x14ac:dyDescent="0.25">
      <c r="B1507"/>
      <c r="C1507"/>
    </row>
    <row r="1508" spans="2:3" x14ac:dyDescent="0.25">
      <c r="B1508"/>
      <c r="C1508"/>
    </row>
    <row r="1509" spans="2:3" x14ac:dyDescent="0.25">
      <c r="B1509"/>
      <c r="C1509"/>
    </row>
    <row r="1510" spans="2:3" x14ac:dyDescent="0.25">
      <c r="B1510"/>
      <c r="C1510"/>
    </row>
    <row r="1511" spans="2:3" x14ac:dyDescent="0.25">
      <c r="B1511"/>
      <c r="C1511"/>
    </row>
    <row r="1512" spans="2:3" x14ac:dyDescent="0.25">
      <c r="B1512"/>
      <c r="C1512"/>
    </row>
    <row r="1513" spans="2:3" x14ac:dyDescent="0.25">
      <c r="B1513"/>
      <c r="C1513"/>
    </row>
    <row r="1514" spans="2:3" x14ac:dyDescent="0.25">
      <c r="B1514"/>
      <c r="C1514"/>
    </row>
    <row r="1515" spans="2:3" x14ac:dyDescent="0.25">
      <c r="B1515"/>
      <c r="C1515"/>
    </row>
    <row r="1516" spans="2:3" x14ac:dyDescent="0.25">
      <c r="B1516"/>
      <c r="C1516"/>
    </row>
    <row r="1517" spans="2:3" x14ac:dyDescent="0.25">
      <c r="B1517"/>
      <c r="C1517"/>
    </row>
    <row r="1518" spans="2:3" x14ac:dyDescent="0.25">
      <c r="B1518"/>
      <c r="C1518"/>
    </row>
    <row r="1519" spans="2:3" x14ac:dyDescent="0.25">
      <c r="B1519"/>
      <c r="C1519"/>
    </row>
    <row r="1520" spans="2:3" x14ac:dyDescent="0.25">
      <c r="B1520"/>
      <c r="C1520"/>
    </row>
    <row r="1521" spans="2:3" x14ac:dyDescent="0.25">
      <c r="B1521"/>
      <c r="C1521"/>
    </row>
    <row r="1522" spans="2:3" x14ac:dyDescent="0.25">
      <c r="B1522"/>
      <c r="C1522"/>
    </row>
    <row r="1523" spans="2:3" x14ac:dyDescent="0.25">
      <c r="B1523"/>
      <c r="C1523"/>
    </row>
    <row r="1524" spans="2:3" x14ac:dyDescent="0.25">
      <c r="B1524"/>
      <c r="C1524"/>
    </row>
    <row r="1525" spans="2:3" x14ac:dyDescent="0.25">
      <c r="B1525"/>
      <c r="C1525"/>
    </row>
    <row r="1526" spans="2:3" x14ac:dyDescent="0.25">
      <c r="B1526"/>
      <c r="C1526"/>
    </row>
    <row r="1527" spans="2:3" x14ac:dyDescent="0.25">
      <c r="B1527"/>
      <c r="C1527"/>
    </row>
    <row r="1528" spans="2:3" x14ac:dyDescent="0.25">
      <c r="B1528"/>
      <c r="C1528"/>
    </row>
    <row r="1529" spans="2:3" x14ac:dyDescent="0.25">
      <c r="B1529"/>
      <c r="C1529"/>
    </row>
    <row r="1530" spans="2:3" x14ac:dyDescent="0.25">
      <c r="B1530"/>
      <c r="C1530"/>
    </row>
    <row r="1531" spans="2:3" x14ac:dyDescent="0.25">
      <c r="B1531"/>
      <c r="C1531"/>
    </row>
    <row r="1532" spans="2:3" x14ac:dyDescent="0.25">
      <c r="B1532"/>
      <c r="C1532"/>
    </row>
    <row r="1533" spans="2:3" x14ac:dyDescent="0.25">
      <c r="B1533"/>
      <c r="C1533"/>
    </row>
    <row r="1534" spans="2:3" x14ac:dyDescent="0.25">
      <c r="B1534"/>
      <c r="C1534"/>
    </row>
    <row r="1535" spans="2:3" x14ac:dyDescent="0.25">
      <c r="B1535"/>
      <c r="C1535"/>
    </row>
    <row r="1536" spans="2:3" x14ac:dyDescent="0.25">
      <c r="B1536"/>
      <c r="C1536"/>
    </row>
    <row r="1537" spans="2:3" x14ac:dyDescent="0.25">
      <c r="B1537"/>
      <c r="C1537"/>
    </row>
    <row r="1538" spans="2:3" x14ac:dyDescent="0.25">
      <c r="B1538"/>
      <c r="C1538"/>
    </row>
    <row r="1539" spans="2:3" x14ac:dyDescent="0.25">
      <c r="B1539"/>
      <c r="C1539"/>
    </row>
    <row r="1540" spans="2:3" x14ac:dyDescent="0.25">
      <c r="B1540"/>
      <c r="C1540"/>
    </row>
    <row r="1541" spans="2:3" x14ac:dyDescent="0.25">
      <c r="B1541"/>
      <c r="C1541"/>
    </row>
    <row r="1542" spans="2:3" x14ac:dyDescent="0.25">
      <c r="B1542"/>
      <c r="C1542"/>
    </row>
    <row r="1543" spans="2:3" x14ac:dyDescent="0.25">
      <c r="B1543"/>
      <c r="C1543"/>
    </row>
    <row r="1544" spans="2:3" x14ac:dyDescent="0.25">
      <c r="B1544"/>
      <c r="C1544"/>
    </row>
    <row r="1545" spans="2:3" x14ac:dyDescent="0.25">
      <c r="B1545"/>
      <c r="C1545"/>
    </row>
    <row r="1546" spans="2:3" x14ac:dyDescent="0.25">
      <c r="B1546"/>
      <c r="C1546"/>
    </row>
    <row r="1547" spans="2:3" x14ac:dyDescent="0.25">
      <c r="B1547"/>
      <c r="C1547"/>
    </row>
    <row r="1548" spans="2:3" x14ac:dyDescent="0.25">
      <c r="B1548"/>
      <c r="C1548"/>
    </row>
    <row r="1549" spans="2:3" x14ac:dyDescent="0.25">
      <c r="B1549"/>
      <c r="C1549"/>
    </row>
    <row r="1550" spans="2:3" x14ac:dyDescent="0.25">
      <c r="B1550"/>
      <c r="C1550"/>
    </row>
    <row r="1551" spans="2:3" x14ac:dyDescent="0.25">
      <c r="B1551"/>
      <c r="C1551"/>
    </row>
    <row r="1552" spans="2:3" x14ac:dyDescent="0.25">
      <c r="B1552"/>
      <c r="C1552"/>
    </row>
    <row r="1553" spans="2:3" x14ac:dyDescent="0.25">
      <c r="B1553"/>
      <c r="C1553"/>
    </row>
    <row r="1554" spans="2:3" x14ac:dyDescent="0.25">
      <c r="B1554"/>
      <c r="C1554"/>
    </row>
    <row r="1555" spans="2:3" x14ac:dyDescent="0.25">
      <c r="B1555"/>
      <c r="C1555"/>
    </row>
    <row r="1556" spans="2:3" x14ac:dyDescent="0.25">
      <c r="B1556"/>
      <c r="C1556"/>
    </row>
    <row r="1557" spans="2:3" x14ac:dyDescent="0.25">
      <c r="B1557"/>
      <c r="C1557"/>
    </row>
    <row r="1558" spans="2:3" x14ac:dyDescent="0.25">
      <c r="B1558"/>
      <c r="C1558"/>
    </row>
    <row r="1559" spans="2:3" x14ac:dyDescent="0.25">
      <c r="B1559"/>
      <c r="C1559"/>
    </row>
    <row r="1560" spans="2:3" x14ac:dyDescent="0.25">
      <c r="B1560"/>
      <c r="C1560"/>
    </row>
    <row r="1561" spans="2:3" x14ac:dyDescent="0.25">
      <c r="B1561"/>
      <c r="C1561"/>
    </row>
    <row r="1562" spans="2:3" x14ac:dyDescent="0.25">
      <c r="B1562"/>
      <c r="C1562"/>
    </row>
    <row r="1563" spans="2:3" x14ac:dyDescent="0.25">
      <c r="B1563"/>
      <c r="C1563"/>
    </row>
    <row r="1564" spans="2:3" x14ac:dyDescent="0.25">
      <c r="B1564"/>
      <c r="C1564"/>
    </row>
    <row r="1565" spans="2:3" x14ac:dyDescent="0.25">
      <c r="B1565"/>
      <c r="C1565"/>
    </row>
    <row r="1566" spans="2:3" x14ac:dyDescent="0.25">
      <c r="B1566"/>
      <c r="C1566"/>
    </row>
    <row r="1567" spans="2:3" x14ac:dyDescent="0.25">
      <c r="B1567"/>
      <c r="C1567"/>
    </row>
    <row r="1568" spans="2:3" x14ac:dyDescent="0.25">
      <c r="B1568"/>
      <c r="C1568"/>
    </row>
    <row r="1569" spans="2:3" x14ac:dyDescent="0.25">
      <c r="B1569"/>
      <c r="C1569"/>
    </row>
    <row r="1570" spans="2:3" x14ac:dyDescent="0.25">
      <c r="B1570"/>
      <c r="C1570"/>
    </row>
    <row r="1571" spans="2:3" x14ac:dyDescent="0.25">
      <c r="B1571"/>
      <c r="C1571"/>
    </row>
    <row r="1572" spans="2:3" x14ac:dyDescent="0.25">
      <c r="B1572"/>
      <c r="C1572"/>
    </row>
    <row r="1573" spans="2:3" x14ac:dyDescent="0.25">
      <c r="B1573"/>
      <c r="C1573"/>
    </row>
    <row r="1574" spans="2:3" x14ac:dyDescent="0.25">
      <c r="B1574"/>
      <c r="C1574"/>
    </row>
    <row r="1575" spans="2:3" x14ac:dyDescent="0.25">
      <c r="B1575"/>
      <c r="C1575"/>
    </row>
    <row r="1576" spans="2:3" x14ac:dyDescent="0.25">
      <c r="B1576"/>
      <c r="C1576"/>
    </row>
    <row r="1577" spans="2:3" x14ac:dyDescent="0.25">
      <c r="B1577"/>
      <c r="C1577"/>
    </row>
    <row r="1578" spans="2:3" x14ac:dyDescent="0.25">
      <c r="B1578"/>
      <c r="C1578"/>
    </row>
    <row r="1579" spans="2:3" x14ac:dyDescent="0.25">
      <c r="B1579"/>
      <c r="C1579"/>
    </row>
    <row r="1580" spans="2:3" x14ac:dyDescent="0.25">
      <c r="B1580"/>
      <c r="C1580"/>
    </row>
    <row r="1581" spans="2:3" x14ac:dyDescent="0.25">
      <c r="B1581"/>
      <c r="C1581"/>
    </row>
    <row r="1582" spans="2:3" x14ac:dyDescent="0.25">
      <c r="B1582"/>
      <c r="C1582"/>
    </row>
    <row r="1583" spans="2:3" x14ac:dyDescent="0.25">
      <c r="B1583"/>
      <c r="C1583"/>
    </row>
    <row r="1584" spans="2:3" x14ac:dyDescent="0.25">
      <c r="B1584"/>
      <c r="C1584"/>
    </row>
    <row r="1585" spans="2:3" x14ac:dyDescent="0.25">
      <c r="B1585"/>
      <c r="C1585"/>
    </row>
    <row r="1586" spans="2:3" x14ac:dyDescent="0.25">
      <c r="B1586"/>
      <c r="C1586"/>
    </row>
    <row r="1587" spans="2:3" x14ac:dyDescent="0.25">
      <c r="B1587"/>
      <c r="C1587"/>
    </row>
    <row r="1588" spans="2:3" x14ac:dyDescent="0.25">
      <c r="B1588"/>
      <c r="C1588"/>
    </row>
    <row r="1589" spans="2:3" x14ac:dyDescent="0.25">
      <c r="B1589"/>
      <c r="C1589"/>
    </row>
    <row r="1590" spans="2:3" x14ac:dyDescent="0.25">
      <c r="B1590"/>
      <c r="C1590"/>
    </row>
    <row r="1591" spans="2:3" x14ac:dyDescent="0.25">
      <c r="B1591"/>
      <c r="C1591"/>
    </row>
    <row r="1592" spans="2:3" x14ac:dyDescent="0.25">
      <c r="B1592"/>
      <c r="C1592"/>
    </row>
    <row r="1593" spans="2:3" x14ac:dyDescent="0.25">
      <c r="B1593"/>
      <c r="C1593"/>
    </row>
    <row r="1594" spans="2:3" x14ac:dyDescent="0.25">
      <c r="B1594"/>
      <c r="C1594"/>
    </row>
    <row r="1595" spans="2:3" x14ac:dyDescent="0.25">
      <c r="B1595"/>
      <c r="C1595"/>
    </row>
    <row r="1596" spans="2:3" x14ac:dyDescent="0.25">
      <c r="B1596"/>
      <c r="C1596"/>
    </row>
    <row r="1597" spans="2:3" x14ac:dyDescent="0.25">
      <c r="B1597"/>
      <c r="C1597"/>
    </row>
    <row r="1598" spans="2:3" x14ac:dyDescent="0.25">
      <c r="B1598"/>
      <c r="C1598"/>
    </row>
    <row r="1599" spans="2:3" x14ac:dyDescent="0.25">
      <c r="B1599"/>
      <c r="C1599"/>
    </row>
    <row r="1600" spans="2:3" x14ac:dyDescent="0.25">
      <c r="B1600"/>
      <c r="C1600"/>
    </row>
    <row r="1601" spans="2:3" x14ac:dyDescent="0.25">
      <c r="B1601"/>
      <c r="C1601"/>
    </row>
    <row r="1602" spans="2:3" x14ac:dyDescent="0.25">
      <c r="B1602"/>
      <c r="C1602"/>
    </row>
    <row r="1603" spans="2:3" x14ac:dyDescent="0.25">
      <c r="B1603"/>
      <c r="C1603"/>
    </row>
    <row r="1604" spans="2:3" x14ac:dyDescent="0.25">
      <c r="B1604"/>
      <c r="C1604"/>
    </row>
    <row r="1605" spans="2:3" x14ac:dyDescent="0.25">
      <c r="B1605"/>
      <c r="C1605"/>
    </row>
    <row r="1606" spans="2:3" x14ac:dyDescent="0.25">
      <c r="B1606"/>
      <c r="C1606"/>
    </row>
    <row r="1607" spans="2:3" x14ac:dyDescent="0.25">
      <c r="B1607"/>
      <c r="C1607"/>
    </row>
    <row r="1608" spans="2:3" x14ac:dyDescent="0.25">
      <c r="B1608"/>
      <c r="C1608"/>
    </row>
    <row r="1609" spans="2:3" x14ac:dyDescent="0.25">
      <c r="B1609"/>
      <c r="C1609"/>
    </row>
    <row r="1610" spans="2:3" x14ac:dyDescent="0.25">
      <c r="B1610"/>
      <c r="C1610"/>
    </row>
    <row r="1611" spans="2:3" x14ac:dyDescent="0.25">
      <c r="B1611"/>
      <c r="C1611"/>
    </row>
    <row r="1612" spans="2:3" x14ac:dyDescent="0.25">
      <c r="B1612"/>
      <c r="C1612"/>
    </row>
    <row r="1613" spans="2:3" x14ac:dyDescent="0.25">
      <c r="B1613"/>
      <c r="C1613"/>
    </row>
    <row r="1614" spans="2:3" x14ac:dyDescent="0.25">
      <c r="B1614"/>
      <c r="C1614"/>
    </row>
    <row r="1615" spans="2:3" x14ac:dyDescent="0.25">
      <c r="B1615"/>
      <c r="C1615"/>
    </row>
    <row r="1616" spans="2:3" x14ac:dyDescent="0.25">
      <c r="B1616"/>
      <c r="C1616"/>
    </row>
    <row r="1617" spans="2:3" x14ac:dyDescent="0.25">
      <c r="B1617"/>
      <c r="C1617"/>
    </row>
    <row r="1618" spans="2:3" x14ac:dyDescent="0.25">
      <c r="B1618"/>
      <c r="C1618"/>
    </row>
    <row r="1619" spans="2:3" x14ac:dyDescent="0.25">
      <c r="B1619"/>
      <c r="C1619"/>
    </row>
    <row r="1620" spans="2:3" x14ac:dyDescent="0.25">
      <c r="B1620"/>
      <c r="C1620"/>
    </row>
    <row r="1621" spans="2:3" x14ac:dyDescent="0.25">
      <c r="B1621"/>
      <c r="C1621"/>
    </row>
    <row r="1622" spans="2:3" x14ac:dyDescent="0.25">
      <c r="B1622"/>
      <c r="C1622"/>
    </row>
    <row r="1623" spans="2:3" x14ac:dyDescent="0.25">
      <c r="B1623"/>
      <c r="C1623"/>
    </row>
    <row r="1624" spans="2:3" x14ac:dyDescent="0.25">
      <c r="B1624"/>
      <c r="C1624"/>
    </row>
    <row r="1625" spans="2:3" x14ac:dyDescent="0.25">
      <c r="B1625"/>
      <c r="C1625"/>
    </row>
    <row r="1626" spans="2:3" x14ac:dyDescent="0.25">
      <c r="B1626"/>
      <c r="C1626"/>
    </row>
    <row r="1627" spans="2:3" x14ac:dyDescent="0.25">
      <c r="B1627"/>
      <c r="C1627"/>
    </row>
    <row r="1628" spans="2:3" x14ac:dyDescent="0.25">
      <c r="B1628"/>
      <c r="C1628"/>
    </row>
    <row r="1629" spans="2:3" x14ac:dyDescent="0.25">
      <c r="B1629"/>
      <c r="C1629"/>
    </row>
    <row r="1630" spans="2:3" x14ac:dyDescent="0.25">
      <c r="B1630"/>
      <c r="C1630"/>
    </row>
    <row r="1631" spans="2:3" x14ac:dyDescent="0.25">
      <c r="B1631"/>
      <c r="C1631"/>
    </row>
    <row r="1632" spans="2:3" x14ac:dyDescent="0.25">
      <c r="B1632"/>
      <c r="C1632"/>
    </row>
    <row r="1633" spans="2:3" x14ac:dyDescent="0.25">
      <c r="B1633"/>
      <c r="C1633"/>
    </row>
    <row r="1634" spans="2:3" x14ac:dyDescent="0.25">
      <c r="B1634"/>
      <c r="C1634"/>
    </row>
    <row r="1635" spans="2:3" x14ac:dyDescent="0.25">
      <c r="B1635"/>
      <c r="C1635"/>
    </row>
    <row r="1636" spans="2:3" x14ac:dyDescent="0.25">
      <c r="B1636"/>
      <c r="C1636"/>
    </row>
    <row r="1637" spans="2:3" x14ac:dyDescent="0.25">
      <c r="B1637"/>
      <c r="C1637"/>
    </row>
    <row r="1638" spans="2:3" x14ac:dyDescent="0.25">
      <c r="B1638"/>
      <c r="C1638"/>
    </row>
    <row r="1639" spans="2:3" x14ac:dyDescent="0.25">
      <c r="B1639"/>
      <c r="C1639"/>
    </row>
    <row r="1640" spans="2:3" x14ac:dyDescent="0.25">
      <c r="B1640"/>
      <c r="C1640"/>
    </row>
    <row r="1641" spans="2:3" x14ac:dyDescent="0.25">
      <c r="B1641"/>
      <c r="C1641"/>
    </row>
    <row r="1642" spans="2:3" x14ac:dyDescent="0.25">
      <c r="B1642"/>
      <c r="C1642"/>
    </row>
    <row r="1643" spans="2:3" x14ac:dyDescent="0.25">
      <c r="B1643"/>
      <c r="C1643"/>
    </row>
    <row r="1644" spans="2:3" x14ac:dyDescent="0.25">
      <c r="B1644"/>
      <c r="C1644"/>
    </row>
    <row r="1645" spans="2:3" x14ac:dyDescent="0.25">
      <c r="B1645"/>
      <c r="C1645"/>
    </row>
    <row r="1646" spans="2:3" x14ac:dyDescent="0.25">
      <c r="B1646"/>
      <c r="C1646"/>
    </row>
    <row r="1647" spans="2:3" x14ac:dyDescent="0.25">
      <c r="B1647"/>
      <c r="C1647"/>
    </row>
    <row r="1648" spans="2:3" x14ac:dyDescent="0.25">
      <c r="B1648"/>
      <c r="C1648"/>
    </row>
    <row r="1649" spans="2:3" x14ac:dyDescent="0.25">
      <c r="B1649"/>
      <c r="C1649"/>
    </row>
    <row r="1650" spans="2:3" x14ac:dyDescent="0.25">
      <c r="B1650"/>
      <c r="C1650"/>
    </row>
    <row r="1651" spans="2:3" x14ac:dyDescent="0.25">
      <c r="B1651"/>
      <c r="C1651"/>
    </row>
    <row r="1652" spans="2:3" x14ac:dyDescent="0.25">
      <c r="B1652"/>
      <c r="C1652"/>
    </row>
    <row r="1653" spans="2:3" x14ac:dyDescent="0.25">
      <c r="B1653"/>
      <c r="C1653"/>
    </row>
    <row r="1654" spans="2:3" x14ac:dyDescent="0.25">
      <c r="B1654"/>
      <c r="C1654"/>
    </row>
    <row r="1655" spans="2:3" x14ac:dyDescent="0.25">
      <c r="B1655"/>
      <c r="C1655"/>
    </row>
    <row r="1656" spans="2:3" x14ac:dyDescent="0.25">
      <c r="B1656"/>
      <c r="C1656"/>
    </row>
    <row r="1657" spans="2:3" x14ac:dyDescent="0.25">
      <c r="B1657"/>
      <c r="C1657"/>
    </row>
    <row r="1658" spans="2:3" x14ac:dyDescent="0.25">
      <c r="B1658"/>
      <c r="C1658"/>
    </row>
    <row r="1659" spans="2:3" x14ac:dyDescent="0.25">
      <c r="B1659"/>
      <c r="C1659"/>
    </row>
    <row r="1660" spans="2:3" x14ac:dyDescent="0.25">
      <c r="B1660"/>
      <c r="C1660"/>
    </row>
    <row r="1661" spans="2:3" x14ac:dyDescent="0.25">
      <c r="B1661"/>
      <c r="C1661"/>
    </row>
    <row r="1662" spans="2:3" x14ac:dyDescent="0.25">
      <c r="B1662"/>
      <c r="C1662"/>
    </row>
    <row r="1663" spans="2:3" x14ac:dyDescent="0.25">
      <c r="B1663"/>
      <c r="C1663"/>
    </row>
    <row r="1664" spans="2:3" x14ac:dyDescent="0.25">
      <c r="B1664"/>
      <c r="C1664"/>
    </row>
    <row r="1665" spans="2:3" x14ac:dyDescent="0.25">
      <c r="B1665"/>
      <c r="C1665"/>
    </row>
    <row r="1666" spans="2:3" x14ac:dyDescent="0.25">
      <c r="B1666"/>
      <c r="C1666"/>
    </row>
    <row r="1667" spans="2:3" x14ac:dyDescent="0.25">
      <c r="B1667"/>
      <c r="C1667"/>
    </row>
    <row r="1668" spans="2:3" x14ac:dyDescent="0.25">
      <c r="B1668"/>
      <c r="C1668"/>
    </row>
    <row r="1669" spans="2:3" x14ac:dyDescent="0.25">
      <c r="B1669"/>
      <c r="C1669"/>
    </row>
    <row r="1670" spans="2:3" x14ac:dyDescent="0.25">
      <c r="B1670"/>
      <c r="C1670"/>
    </row>
    <row r="1671" spans="2:3" x14ac:dyDescent="0.25">
      <c r="B1671"/>
      <c r="C1671"/>
    </row>
    <row r="1672" spans="2:3" x14ac:dyDescent="0.25">
      <c r="B1672"/>
      <c r="C1672"/>
    </row>
    <row r="1673" spans="2:3" x14ac:dyDescent="0.25">
      <c r="B1673"/>
      <c r="C1673"/>
    </row>
    <row r="1674" spans="2:3" x14ac:dyDescent="0.25">
      <c r="B1674"/>
      <c r="C1674"/>
    </row>
    <row r="1675" spans="2:3" x14ac:dyDescent="0.25">
      <c r="B1675"/>
      <c r="C1675"/>
    </row>
    <row r="1676" spans="2:3" x14ac:dyDescent="0.25">
      <c r="B1676"/>
      <c r="C1676"/>
    </row>
    <row r="1677" spans="2:3" x14ac:dyDescent="0.25">
      <c r="B1677"/>
      <c r="C1677"/>
    </row>
    <row r="1678" spans="2:3" x14ac:dyDescent="0.25">
      <c r="B1678"/>
      <c r="C1678"/>
    </row>
    <row r="1679" spans="2:3" x14ac:dyDescent="0.25">
      <c r="B1679"/>
      <c r="C1679"/>
    </row>
    <row r="1680" spans="2:3" x14ac:dyDescent="0.25">
      <c r="B1680"/>
      <c r="C1680"/>
    </row>
    <row r="1681" spans="2:3" x14ac:dyDescent="0.25">
      <c r="B1681"/>
      <c r="C1681"/>
    </row>
    <row r="1682" spans="2:3" x14ac:dyDescent="0.25">
      <c r="B1682"/>
      <c r="C1682"/>
    </row>
    <row r="1683" spans="2:3" x14ac:dyDescent="0.25">
      <c r="B1683"/>
      <c r="C1683"/>
    </row>
    <row r="1684" spans="2:3" x14ac:dyDescent="0.25">
      <c r="B1684"/>
      <c r="C1684"/>
    </row>
    <row r="1685" spans="2:3" x14ac:dyDescent="0.25">
      <c r="B1685"/>
      <c r="C1685"/>
    </row>
    <row r="1686" spans="2:3" x14ac:dyDescent="0.25">
      <c r="B1686"/>
      <c r="C1686"/>
    </row>
    <row r="1687" spans="2:3" x14ac:dyDescent="0.25">
      <c r="B1687"/>
      <c r="C1687"/>
    </row>
    <row r="1688" spans="2:3" x14ac:dyDescent="0.25">
      <c r="B1688"/>
      <c r="C1688"/>
    </row>
    <row r="1689" spans="2:3" x14ac:dyDescent="0.25">
      <c r="B1689"/>
      <c r="C1689"/>
    </row>
    <row r="1690" spans="2:3" x14ac:dyDescent="0.25">
      <c r="B1690"/>
      <c r="C1690"/>
    </row>
    <row r="1691" spans="2:3" x14ac:dyDescent="0.25">
      <c r="B1691"/>
      <c r="C1691"/>
    </row>
    <row r="1692" spans="2:3" x14ac:dyDescent="0.25">
      <c r="B1692"/>
      <c r="C1692"/>
    </row>
    <row r="1693" spans="2:3" x14ac:dyDescent="0.25">
      <c r="B1693"/>
      <c r="C1693"/>
    </row>
    <row r="1694" spans="2:3" x14ac:dyDescent="0.25">
      <c r="B1694"/>
      <c r="C1694"/>
    </row>
    <row r="1695" spans="2:3" x14ac:dyDescent="0.25">
      <c r="B1695"/>
      <c r="C1695"/>
    </row>
    <row r="1696" spans="2:3" x14ac:dyDescent="0.25">
      <c r="B1696"/>
      <c r="C1696"/>
    </row>
    <row r="1697" spans="2:3" x14ac:dyDescent="0.25">
      <c r="B1697"/>
      <c r="C1697"/>
    </row>
    <row r="1698" spans="2:3" x14ac:dyDescent="0.25">
      <c r="B1698"/>
      <c r="C1698"/>
    </row>
    <row r="1699" spans="2:3" x14ac:dyDescent="0.25">
      <c r="B1699"/>
      <c r="C1699"/>
    </row>
    <row r="1700" spans="2:3" x14ac:dyDescent="0.25">
      <c r="B1700"/>
      <c r="C1700"/>
    </row>
    <row r="1701" spans="2:3" x14ac:dyDescent="0.25">
      <c r="B1701"/>
      <c r="C1701"/>
    </row>
    <row r="1702" spans="2:3" x14ac:dyDescent="0.25">
      <c r="B1702"/>
      <c r="C1702"/>
    </row>
    <row r="1703" spans="2:3" x14ac:dyDescent="0.25">
      <c r="B1703"/>
      <c r="C1703"/>
    </row>
    <row r="1704" spans="2:3" x14ac:dyDescent="0.25">
      <c r="B1704"/>
      <c r="C1704"/>
    </row>
    <row r="1705" spans="2:3" x14ac:dyDescent="0.25">
      <c r="B1705"/>
      <c r="C1705"/>
    </row>
    <row r="1706" spans="2:3" x14ac:dyDescent="0.25">
      <c r="B1706"/>
      <c r="C1706"/>
    </row>
    <row r="1707" spans="2:3" x14ac:dyDescent="0.25">
      <c r="B1707"/>
      <c r="C1707"/>
    </row>
    <row r="1708" spans="2:3" x14ac:dyDescent="0.25">
      <c r="B1708"/>
      <c r="C1708"/>
    </row>
    <row r="1709" spans="2:3" x14ac:dyDescent="0.25">
      <c r="B1709"/>
      <c r="C1709"/>
    </row>
    <row r="1710" spans="2:3" x14ac:dyDescent="0.25">
      <c r="B1710"/>
      <c r="C1710"/>
    </row>
    <row r="1711" spans="2:3" x14ac:dyDescent="0.25">
      <c r="B1711"/>
      <c r="C1711"/>
    </row>
    <row r="1712" spans="2:3" x14ac:dyDescent="0.25">
      <c r="B1712"/>
      <c r="C1712"/>
    </row>
    <row r="1713" spans="2:3" x14ac:dyDescent="0.25">
      <c r="B1713"/>
      <c r="C1713"/>
    </row>
    <row r="1714" spans="2:3" x14ac:dyDescent="0.25">
      <c r="B1714"/>
      <c r="C1714"/>
    </row>
    <row r="1715" spans="2:3" x14ac:dyDescent="0.25">
      <c r="B1715"/>
      <c r="C1715"/>
    </row>
    <row r="1716" spans="2:3" x14ac:dyDescent="0.25">
      <c r="B1716"/>
      <c r="C1716"/>
    </row>
    <row r="1717" spans="2:3" x14ac:dyDescent="0.25">
      <c r="B1717"/>
      <c r="C1717"/>
    </row>
    <row r="1718" spans="2:3" x14ac:dyDescent="0.25">
      <c r="B1718"/>
      <c r="C1718"/>
    </row>
    <row r="1719" spans="2:3" x14ac:dyDescent="0.25">
      <c r="B1719"/>
      <c r="C1719"/>
    </row>
    <row r="1720" spans="2:3" x14ac:dyDescent="0.25">
      <c r="B1720"/>
      <c r="C1720"/>
    </row>
    <row r="1721" spans="2:3" x14ac:dyDescent="0.25">
      <c r="B1721"/>
      <c r="C1721"/>
    </row>
    <row r="1722" spans="2:3" x14ac:dyDescent="0.25">
      <c r="B1722"/>
      <c r="C1722"/>
    </row>
    <row r="1723" spans="2:3" x14ac:dyDescent="0.25">
      <c r="B1723"/>
      <c r="C1723"/>
    </row>
    <row r="1724" spans="2:3" x14ac:dyDescent="0.25">
      <c r="B1724"/>
      <c r="C1724"/>
    </row>
    <row r="1725" spans="2:3" x14ac:dyDescent="0.25">
      <c r="B1725"/>
      <c r="C1725"/>
    </row>
    <row r="1726" spans="2:3" x14ac:dyDescent="0.25">
      <c r="B1726"/>
      <c r="C1726"/>
    </row>
    <row r="1727" spans="2:3" x14ac:dyDescent="0.25">
      <c r="B1727"/>
      <c r="C1727"/>
    </row>
    <row r="1728" spans="2:3" x14ac:dyDescent="0.25">
      <c r="B1728"/>
      <c r="C1728"/>
    </row>
    <row r="1729" spans="2:3" x14ac:dyDescent="0.25">
      <c r="B1729"/>
      <c r="C1729"/>
    </row>
    <row r="1730" spans="2:3" x14ac:dyDescent="0.25">
      <c r="B1730"/>
      <c r="C1730"/>
    </row>
    <row r="1731" spans="2:3" x14ac:dyDescent="0.25">
      <c r="B1731"/>
      <c r="C1731"/>
    </row>
    <row r="1732" spans="2:3" x14ac:dyDescent="0.25">
      <c r="B1732"/>
      <c r="C1732"/>
    </row>
    <row r="1733" spans="2:3" x14ac:dyDescent="0.25">
      <c r="B1733"/>
      <c r="C1733"/>
    </row>
    <row r="1734" spans="2:3" x14ac:dyDescent="0.25">
      <c r="B1734"/>
      <c r="C1734"/>
    </row>
    <row r="1735" spans="2:3" x14ac:dyDescent="0.25">
      <c r="B1735"/>
      <c r="C1735"/>
    </row>
    <row r="1736" spans="2:3" x14ac:dyDescent="0.25">
      <c r="B1736"/>
      <c r="C1736"/>
    </row>
    <row r="1737" spans="2:3" x14ac:dyDescent="0.25">
      <c r="B1737"/>
      <c r="C1737"/>
    </row>
    <row r="1738" spans="2:3" x14ac:dyDescent="0.25">
      <c r="B1738"/>
      <c r="C1738"/>
    </row>
    <row r="1739" spans="2:3" x14ac:dyDescent="0.25">
      <c r="B1739"/>
      <c r="C1739"/>
    </row>
    <row r="1740" spans="2:3" x14ac:dyDescent="0.25">
      <c r="B1740"/>
      <c r="C1740"/>
    </row>
    <row r="1741" spans="2:3" x14ac:dyDescent="0.25">
      <c r="B1741"/>
      <c r="C1741"/>
    </row>
    <row r="1742" spans="2:3" x14ac:dyDescent="0.25">
      <c r="B1742"/>
      <c r="C1742"/>
    </row>
    <row r="1743" spans="2:3" x14ac:dyDescent="0.25">
      <c r="B1743"/>
      <c r="C1743"/>
    </row>
    <row r="1744" spans="2:3" x14ac:dyDescent="0.25">
      <c r="B1744"/>
      <c r="C1744"/>
    </row>
    <row r="1745" spans="2:3" x14ac:dyDescent="0.25">
      <c r="B1745"/>
      <c r="C1745"/>
    </row>
    <row r="1746" spans="2:3" x14ac:dyDescent="0.25">
      <c r="B1746"/>
      <c r="C1746"/>
    </row>
    <row r="1747" spans="2:3" x14ac:dyDescent="0.25">
      <c r="B1747"/>
      <c r="C1747"/>
    </row>
    <row r="1748" spans="2:3" x14ac:dyDescent="0.25">
      <c r="B1748"/>
      <c r="C1748"/>
    </row>
    <row r="1749" spans="2:3" x14ac:dyDescent="0.25">
      <c r="B1749"/>
      <c r="C1749"/>
    </row>
    <row r="1750" spans="2:3" x14ac:dyDescent="0.25">
      <c r="B1750"/>
      <c r="C1750"/>
    </row>
    <row r="1751" spans="2:3" x14ac:dyDescent="0.25">
      <c r="B1751"/>
      <c r="C1751"/>
    </row>
    <row r="1752" spans="2:3" x14ac:dyDescent="0.25">
      <c r="B1752"/>
      <c r="C1752"/>
    </row>
    <row r="1753" spans="2:3" x14ac:dyDescent="0.25">
      <c r="B1753"/>
      <c r="C1753"/>
    </row>
    <row r="1754" spans="2:3" x14ac:dyDescent="0.25">
      <c r="B1754"/>
      <c r="C1754"/>
    </row>
    <row r="1755" spans="2:3" x14ac:dyDescent="0.25">
      <c r="B1755"/>
      <c r="C1755"/>
    </row>
    <row r="1756" spans="2:3" x14ac:dyDescent="0.25">
      <c r="B1756"/>
      <c r="C1756"/>
    </row>
    <row r="1757" spans="2:3" x14ac:dyDescent="0.25">
      <c r="B1757"/>
      <c r="C1757"/>
    </row>
    <row r="1758" spans="2:3" x14ac:dyDescent="0.25">
      <c r="B1758"/>
      <c r="C1758"/>
    </row>
    <row r="1759" spans="2:3" x14ac:dyDescent="0.25">
      <c r="B1759"/>
      <c r="C1759"/>
    </row>
    <row r="1760" spans="2:3" x14ac:dyDescent="0.25">
      <c r="B1760"/>
      <c r="C1760"/>
    </row>
    <row r="1761" spans="2:3" x14ac:dyDescent="0.25">
      <c r="B1761"/>
      <c r="C1761"/>
    </row>
    <row r="1762" spans="2:3" x14ac:dyDescent="0.25">
      <c r="B1762"/>
      <c r="C1762"/>
    </row>
    <row r="1763" spans="2:3" x14ac:dyDescent="0.25">
      <c r="B1763"/>
      <c r="C1763"/>
    </row>
    <row r="1764" spans="2:3" x14ac:dyDescent="0.25">
      <c r="B1764"/>
      <c r="C1764"/>
    </row>
    <row r="1765" spans="2:3" x14ac:dyDescent="0.25">
      <c r="B1765"/>
      <c r="C1765"/>
    </row>
    <row r="1766" spans="2:3" x14ac:dyDescent="0.25">
      <c r="B1766"/>
      <c r="C1766"/>
    </row>
    <row r="1767" spans="2:3" x14ac:dyDescent="0.25">
      <c r="B1767"/>
      <c r="C1767"/>
    </row>
    <row r="1768" spans="2:3" x14ac:dyDescent="0.25">
      <c r="B1768"/>
      <c r="C1768"/>
    </row>
    <row r="1769" spans="2:3" x14ac:dyDescent="0.25">
      <c r="B1769"/>
      <c r="C1769"/>
    </row>
    <row r="1770" spans="2:3" x14ac:dyDescent="0.25">
      <c r="B1770"/>
      <c r="C1770"/>
    </row>
    <row r="1771" spans="2:3" x14ac:dyDescent="0.25">
      <c r="B1771"/>
      <c r="C1771"/>
    </row>
    <row r="1772" spans="2:3" x14ac:dyDescent="0.25">
      <c r="B1772"/>
      <c r="C1772"/>
    </row>
    <row r="1773" spans="2:3" x14ac:dyDescent="0.25">
      <c r="B1773"/>
      <c r="C1773"/>
    </row>
    <row r="1774" spans="2:3" x14ac:dyDescent="0.25">
      <c r="B1774"/>
      <c r="C1774"/>
    </row>
    <row r="1775" spans="2:3" x14ac:dyDescent="0.25">
      <c r="B1775"/>
      <c r="C1775"/>
    </row>
    <row r="1776" spans="2:3" x14ac:dyDescent="0.25">
      <c r="B1776"/>
      <c r="C1776"/>
    </row>
    <row r="1777" spans="2:3" x14ac:dyDescent="0.25">
      <c r="B1777"/>
      <c r="C1777"/>
    </row>
    <row r="1778" spans="2:3" x14ac:dyDescent="0.25">
      <c r="B1778"/>
      <c r="C1778"/>
    </row>
    <row r="1779" spans="2:3" x14ac:dyDescent="0.25">
      <c r="B1779"/>
      <c r="C1779"/>
    </row>
    <row r="1780" spans="2:3" x14ac:dyDescent="0.25">
      <c r="B1780"/>
      <c r="C1780"/>
    </row>
    <row r="1781" spans="2:3" x14ac:dyDescent="0.25">
      <c r="B1781"/>
      <c r="C1781"/>
    </row>
    <row r="1782" spans="2:3" x14ac:dyDescent="0.25">
      <c r="B1782"/>
      <c r="C1782"/>
    </row>
    <row r="1783" spans="2:3" x14ac:dyDescent="0.25">
      <c r="B1783"/>
      <c r="C1783"/>
    </row>
    <row r="1784" spans="2:3" x14ac:dyDescent="0.25">
      <c r="B1784"/>
      <c r="C1784"/>
    </row>
    <row r="1785" spans="2:3" x14ac:dyDescent="0.25">
      <c r="B1785"/>
      <c r="C1785"/>
    </row>
    <row r="1786" spans="2:3" x14ac:dyDescent="0.25">
      <c r="B1786"/>
      <c r="C1786"/>
    </row>
    <row r="1787" spans="2:3" x14ac:dyDescent="0.25">
      <c r="B1787"/>
      <c r="C1787"/>
    </row>
    <row r="1788" spans="2:3" x14ac:dyDescent="0.25">
      <c r="B1788"/>
      <c r="C1788"/>
    </row>
    <row r="1789" spans="2:3" x14ac:dyDescent="0.25">
      <c r="B1789"/>
      <c r="C1789"/>
    </row>
    <row r="1790" spans="2:3" x14ac:dyDescent="0.25">
      <c r="B1790"/>
      <c r="C1790"/>
    </row>
    <row r="1791" spans="2:3" x14ac:dyDescent="0.25">
      <c r="B1791"/>
      <c r="C1791"/>
    </row>
    <row r="1792" spans="2:3" x14ac:dyDescent="0.25">
      <c r="B1792"/>
      <c r="C1792"/>
    </row>
    <row r="1793" spans="2:3" x14ac:dyDescent="0.25">
      <c r="B1793"/>
      <c r="C1793"/>
    </row>
    <row r="1794" spans="2:3" x14ac:dyDescent="0.25">
      <c r="B1794"/>
      <c r="C1794"/>
    </row>
    <row r="1795" spans="2:3" x14ac:dyDescent="0.25">
      <c r="B1795"/>
      <c r="C1795"/>
    </row>
    <row r="1796" spans="2:3" x14ac:dyDescent="0.25">
      <c r="B1796"/>
      <c r="C1796"/>
    </row>
    <row r="1797" spans="2:3" x14ac:dyDescent="0.25">
      <c r="B1797"/>
      <c r="C1797"/>
    </row>
    <row r="1798" spans="2:3" x14ac:dyDescent="0.25">
      <c r="B1798"/>
      <c r="C1798"/>
    </row>
    <row r="1799" spans="2:3" x14ac:dyDescent="0.25">
      <c r="B1799"/>
      <c r="C1799"/>
    </row>
    <row r="1800" spans="2:3" x14ac:dyDescent="0.25">
      <c r="B1800"/>
      <c r="C1800"/>
    </row>
    <row r="1801" spans="2:3" x14ac:dyDescent="0.25">
      <c r="B1801"/>
      <c r="C1801"/>
    </row>
    <row r="1802" spans="2:3" x14ac:dyDescent="0.25">
      <c r="B1802"/>
      <c r="C1802"/>
    </row>
    <row r="1803" spans="2:3" x14ac:dyDescent="0.25">
      <c r="B1803"/>
      <c r="C1803"/>
    </row>
    <row r="1804" spans="2:3" x14ac:dyDescent="0.25">
      <c r="B1804"/>
      <c r="C1804"/>
    </row>
    <row r="1805" spans="2:3" x14ac:dyDescent="0.25">
      <c r="B1805"/>
      <c r="C1805"/>
    </row>
    <row r="1806" spans="2:3" x14ac:dyDescent="0.25">
      <c r="B1806"/>
      <c r="C1806"/>
    </row>
    <row r="1807" spans="2:3" x14ac:dyDescent="0.25">
      <c r="B1807"/>
      <c r="C1807"/>
    </row>
    <row r="1808" spans="2:3" x14ac:dyDescent="0.25">
      <c r="B1808"/>
      <c r="C1808"/>
    </row>
    <row r="1809" spans="2:3" x14ac:dyDescent="0.25">
      <c r="B1809"/>
      <c r="C1809"/>
    </row>
    <row r="1810" spans="2:3" x14ac:dyDescent="0.25">
      <c r="B1810"/>
      <c r="C1810"/>
    </row>
    <row r="1811" spans="2:3" x14ac:dyDescent="0.25">
      <c r="B1811"/>
      <c r="C1811"/>
    </row>
    <row r="1812" spans="2:3" x14ac:dyDescent="0.25">
      <c r="B1812"/>
      <c r="C1812"/>
    </row>
    <row r="1813" spans="2:3" x14ac:dyDescent="0.25">
      <c r="B1813"/>
      <c r="C1813"/>
    </row>
    <row r="1814" spans="2:3" x14ac:dyDescent="0.25">
      <c r="B1814"/>
      <c r="C1814"/>
    </row>
    <row r="1815" spans="2:3" x14ac:dyDescent="0.25">
      <c r="B1815"/>
      <c r="C1815"/>
    </row>
    <row r="1816" spans="2:3" x14ac:dyDescent="0.25">
      <c r="B1816"/>
      <c r="C1816"/>
    </row>
    <row r="1817" spans="2:3" x14ac:dyDescent="0.25">
      <c r="B1817"/>
      <c r="C1817"/>
    </row>
    <row r="1818" spans="2:3" x14ac:dyDescent="0.25">
      <c r="B1818"/>
      <c r="C1818"/>
    </row>
    <row r="1819" spans="2:3" x14ac:dyDescent="0.25">
      <c r="B1819"/>
      <c r="C1819"/>
    </row>
    <row r="1820" spans="2:3" x14ac:dyDescent="0.25">
      <c r="B1820"/>
      <c r="C1820"/>
    </row>
    <row r="1821" spans="2:3" x14ac:dyDescent="0.25">
      <c r="B1821"/>
      <c r="C1821"/>
    </row>
    <row r="1822" spans="2:3" x14ac:dyDescent="0.25">
      <c r="B1822"/>
      <c r="C1822"/>
    </row>
    <row r="1823" spans="2:3" x14ac:dyDescent="0.25">
      <c r="B1823"/>
      <c r="C1823"/>
    </row>
    <row r="1824" spans="2:3" x14ac:dyDescent="0.25">
      <c r="B1824"/>
      <c r="C1824"/>
    </row>
    <row r="1825" spans="2:3" x14ac:dyDescent="0.25">
      <c r="B1825"/>
      <c r="C1825"/>
    </row>
    <row r="1826" spans="2:3" x14ac:dyDescent="0.25">
      <c r="B1826"/>
      <c r="C1826"/>
    </row>
    <row r="1827" spans="2:3" x14ac:dyDescent="0.25">
      <c r="B1827"/>
      <c r="C1827"/>
    </row>
    <row r="1828" spans="2:3" x14ac:dyDescent="0.25">
      <c r="B1828"/>
      <c r="C1828"/>
    </row>
    <row r="1829" spans="2:3" x14ac:dyDescent="0.25">
      <c r="B1829"/>
      <c r="C1829"/>
    </row>
    <row r="1830" spans="2:3" x14ac:dyDescent="0.25">
      <c r="B1830"/>
      <c r="C1830"/>
    </row>
    <row r="1831" spans="2:3" x14ac:dyDescent="0.25">
      <c r="B1831"/>
      <c r="C1831"/>
    </row>
    <row r="1832" spans="2:3" x14ac:dyDescent="0.25">
      <c r="B1832"/>
      <c r="C1832"/>
    </row>
    <row r="1833" spans="2:3" x14ac:dyDescent="0.25">
      <c r="B1833"/>
      <c r="C1833"/>
    </row>
    <row r="1834" spans="2:3" x14ac:dyDescent="0.25">
      <c r="B1834"/>
      <c r="C1834"/>
    </row>
    <row r="1835" spans="2:3" x14ac:dyDescent="0.25">
      <c r="B1835"/>
      <c r="C1835"/>
    </row>
    <row r="1836" spans="2:3" x14ac:dyDescent="0.25">
      <c r="B1836"/>
      <c r="C1836"/>
    </row>
    <row r="1837" spans="2:3" x14ac:dyDescent="0.25">
      <c r="B1837"/>
      <c r="C1837"/>
    </row>
    <row r="1838" spans="2:3" x14ac:dyDescent="0.25">
      <c r="B1838"/>
      <c r="C1838"/>
    </row>
    <row r="1839" spans="2:3" x14ac:dyDescent="0.25">
      <c r="B1839"/>
      <c r="C1839"/>
    </row>
    <row r="1840" spans="2:3" x14ac:dyDescent="0.25">
      <c r="B1840"/>
      <c r="C1840"/>
    </row>
    <row r="1841" spans="2:3" x14ac:dyDescent="0.25">
      <c r="B1841"/>
      <c r="C1841"/>
    </row>
    <row r="1842" spans="2:3" x14ac:dyDescent="0.25">
      <c r="B1842"/>
      <c r="C1842"/>
    </row>
    <row r="1843" spans="2:3" x14ac:dyDescent="0.25">
      <c r="B1843"/>
      <c r="C1843"/>
    </row>
    <row r="1844" spans="2:3" x14ac:dyDescent="0.25">
      <c r="B1844"/>
      <c r="C1844"/>
    </row>
    <row r="1845" spans="2:3" x14ac:dyDescent="0.25">
      <c r="B1845"/>
      <c r="C1845"/>
    </row>
    <row r="1846" spans="2:3" x14ac:dyDescent="0.25">
      <c r="B1846"/>
      <c r="C1846"/>
    </row>
    <row r="1847" spans="2:3" x14ac:dyDescent="0.25">
      <c r="B1847"/>
      <c r="C1847"/>
    </row>
    <row r="1848" spans="2:3" x14ac:dyDescent="0.25">
      <c r="B1848"/>
      <c r="C1848"/>
    </row>
    <row r="1849" spans="2:3" x14ac:dyDescent="0.25">
      <c r="B1849"/>
      <c r="C1849"/>
    </row>
    <row r="1850" spans="2:3" x14ac:dyDescent="0.25">
      <c r="B1850"/>
      <c r="C1850"/>
    </row>
    <row r="1851" spans="2:3" x14ac:dyDescent="0.25">
      <c r="B1851"/>
      <c r="C1851"/>
    </row>
    <row r="1852" spans="2:3" x14ac:dyDescent="0.25">
      <c r="B1852"/>
      <c r="C1852"/>
    </row>
    <row r="1853" spans="2:3" x14ac:dyDescent="0.25">
      <c r="B1853"/>
      <c r="C1853"/>
    </row>
    <row r="1854" spans="2:3" x14ac:dyDescent="0.25">
      <c r="B1854"/>
      <c r="C1854"/>
    </row>
    <row r="1855" spans="2:3" x14ac:dyDescent="0.25">
      <c r="B1855"/>
      <c r="C1855"/>
    </row>
    <row r="1856" spans="2:3" x14ac:dyDescent="0.25">
      <c r="B1856"/>
      <c r="C1856"/>
    </row>
    <row r="1857" spans="2:3" x14ac:dyDescent="0.25">
      <c r="B1857"/>
      <c r="C1857"/>
    </row>
    <row r="1858" spans="2:3" x14ac:dyDescent="0.25">
      <c r="B1858"/>
      <c r="C1858"/>
    </row>
    <row r="1859" spans="2:3" x14ac:dyDescent="0.25">
      <c r="B1859"/>
      <c r="C1859"/>
    </row>
    <row r="1860" spans="2:3" x14ac:dyDescent="0.25">
      <c r="B1860"/>
      <c r="C1860"/>
    </row>
    <row r="1861" spans="2:3" x14ac:dyDescent="0.25">
      <c r="B1861"/>
      <c r="C1861"/>
    </row>
    <row r="1862" spans="2:3" x14ac:dyDescent="0.25">
      <c r="B1862"/>
      <c r="C1862"/>
    </row>
    <row r="1863" spans="2:3" x14ac:dyDescent="0.25">
      <c r="B1863"/>
      <c r="C1863"/>
    </row>
    <row r="1864" spans="2:3" x14ac:dyDescent="0.25">
      <c r="B1864"/>
      <c r="C1864"/>
    </row>
    <row r="1865" spans="2:3" x14ac:dyDescent="0.25">
      <c r="B1865"/>
      <c r="C1865"/>
    </row>
    <row r="1866" spans="2:3" x14ac:dyDescent="0.25">
      <c r="B1866"/>
      <c r="C1866"/>
    </row>
    <row r="1867" spans="2:3" x14ac:dyDescent="0.25">
      <c r="B1867"/>
      <c r="C1867"/>
    </row>
    <row r="1868" spans="2:3" x14ac:dyDescent="0.25">
      <c r="B1868"/>
      <c r="C1868"/>
    </row>
    <row r="1869" spans="2:3" x14ac:dyDescent="0.25">
      <c r="B1869"/>
      <c r="C1869"/>
    </row>
    <row r="1870" spans="2:3" x14ac:dyDescent="0.25">
      <c r="B1870"/>
      <c r="C1870"/>
    </row>
    <row r="1871" spans="2:3" x14ac:dyDescent="0.25">
      <c r="B1871"/>
      <c r="C1871"/>
    </row>
    <row r="1872" spans="2:3" x14ac:dyDescent="0.25">
      <c r="B1872"/>
      <c r="C1872"/>
    </row>
    <row r="1873" spans="2:3" x14ac:dyDescent="0.25">
      <c r="B1873"/>
      <c r="C1873"/>
    </row>
    <row r="1874" spans="2:3" x14ac:dyDescent="0.25">
      <c r="B1874"/>
      <c r="C1874"/>
    </row>
    <row r="1875" spans="2:3" x14ac:dyDescent="0.25">
      <c r="B1875"/>
      <c r="C1875"/>
    </row>
    <row r="1876" spans="2:3" x14ac:dyDescent="0.25">
      <c r="B1876"/>
      <c r="C1876"/>
    </row>
    <row r="1877" spans="2:3" x14ac:dyDescent="0.25">
      <c r="B1877"/>
      <c r="C1877"/>
    </row>
    <row r="1878" spans="2:3" x14ac:dyDescent="0.25">
      <c r="B1878"/>
      <c r="C1878"/>
    </row>
    <row r="1879" spans="2:3" x14ac:dyDescent="0.25">
      <c r="B1879"/>
      <c r="C1879"/>
    </row>
    <row r="1880" spans="2:3" x14ac:dyDescent="0.25">
      <c r="B1880"/>
      <c r="C1880"/>
    </row>
    <row r="1881" spans="2:3" x14ac:dyDescent="0.25">
      <c r="B1881"/>
      <c r="C1881"/>
    </row>
    <row r="1882" spans="2:3" x14ac:dyDescent="0.25">
      <c r="B1882"/>
      <c r="C1882"/>
    </row>
    <row r="1883" spans="2:3" x14ac:dyDescent="0.25">
      <c r="B1883"/>
      <c r="C1883"/>
    </row>
    <row r="1884" spans="2:3" x14ac:dyDescent="0.25">
      <c r="B1884"/>
      <c r="C1884"/>
    </row>
    <row r="1885" spans="2:3" x14ac:dyDescent="0.25">
      <c r="B1885"/>
      <c r="C1885"/>
    </row>
    <row r="1886" spans="2:3" x14ac:dyDescent="0.25">
      <c r="B1886"/>
      <c r="C1886"/>
    </row>
    <row r="1887" spans="2:3" x14ac:dyDescent="0.25">
      <c r="B1887"/>
      <c r="C1887"/>
    </row>
    <row r="1888" spans="2:3" x14ac:dyDescent="0.25">
      <c r="B1888"/>
      <c r="C1888"/>
    </row>
    <row r="1889" spans="2:3" x14ac:dyDescent="0.25">
      <c r="B1889"/>
      <c r="C1889"/>
    </row>
    <row r="1890" spans="2:3" x14ac:dyDescent="0.25">
      <c r="B1890"/>
      <c r="C1890"/>
    </row>
    <row r="1891" spans="2:3" x14ac:dyDescent="0.25">
      <c r="B1891"/>
      <c r="C1891"/>
    </row>
    <row r="1892" spans="2:3" x14ac:dyDescent="0.25">
      <c r="B1892"/>
      <c r="C1892"/>
    </row>
    <row r="1893" spans="2:3" x14ac:dyDescent="0.25">
      <c r="B1893"/>
      <c r="C1893"/>
    </row>
    <row r="1894" spans="2:3" x14ac:dyDescent="0.25">
      <c r="B1894"/>
      <c r="C1894"/>
    </row>
    <row r="1895" spans="2:3" x14ac:dyDescent="0.25">
      <c r="B1895"/>
      <c r="C1895"/>
    </row>
    <row r="1896" spans="2:3" x14ac:dyDescent="0.25">
      <c r="B1896"/>
      <c r="C1896"/>
    </row>
    <row r="1897" spans="2:3" x14ac:dyDescent="0.25">
      <c r="B1897"/>
      <c r="C1897"/>
    </row>
    <row r="1898" spans="2:3" x14ac:dyDescent="0.25">
      <c r="B1898"/>
      <c r="C1898"/>
    </row>
    <row r="1899" spans="2:3" x14ac:dyDescent="0.25">
      <c r="B1899"/>
      <c r="C1899"/>
    </row>
    <row r="1900" spans="2:3" x14ac:dyDescent="0.25">
      <c r="B1900"/>
      <c r="C1900"/>
    </row>
    <row r="1901" spans="2:3" x14ac:dyDescent="0.25">
      <c r="B1901"/>
      <c r="C1901"/>
    </row>
    <row r="1902" spans="2:3" x14ac:dyDescent="0.25">
      <c r="B1902"/>
      <c r="C1902"/>
    </row>
    <row r="1903" spans="2:3" x14ac:dyDescent="0.25">
      <c r="B1903"/>
      <c r="C1903"/>
    </row>
    <row r="1904" spans="2:3" x14ac:dyDescent="0.25">
      <c r="B1904"/>
      <c r="C1904"/>
    </row>
    <row r="1905" spans="2:3" x14ac:dyDescent="0.25">
      <c r="B1905"/>
      <c r="C1905"/>
    </row>
    <row r="1906" spans="2:3" x14ac:dyDescent="0.25">
      <c r="B1906"/>
      <c r="C1906"/>
    </row>
    <row r="1907" spans="2:3" x14ac:dyDescent="0.25">
      <c r="B1907"/>
      <c r="C1907"/>
    </row>
    <row r="1908" spans="2:3" x14ac:dyDescent="0.25">
      <c r="B1908"/>
      <c r="C1908"/>
    </row>
    <row r="1909" spans="2:3" x14ac:dyDescent="0.25">
      <c r="B1909"/>
      <c r="C1909"/>
    </row>
    <row r="1910" spans="2:3" x14ac:dyDescent="0.25">
      <c r="B1910"/>
      <c r="C1910"/>
    </row>
    <row r="1911" spans="2:3" x14ac:dyDescent="0.25">
      <c r="B1911"/>
      <c r="C1911"/>
    </row>
    <row r="1912" spans="2:3" x14ac:dyDescent="0.25">
      <c r="B1912"/>
      <c r="C1912"/>
    </row>
    <row r="1913" spans="2:3" x14ac:dyDescent="0.25">
      <c r="B1913"/>
      <c r="C1913"/>
    </row>
    <row r="1914" spans="2:3" x14ac:dyDescent="0.25">
      <c r="B1914"/>
      <c r="C1914"/>
    </row>
    <row r="1915" spans="2:3" x14ac:dyDescent="0.25">
      <c r="B1915"/>
      <c r="C1915"/>
    </row>
    <row r="1916" spans="2:3" x14ac:dyDescent="0.25">
      <c r="B1916"/>
      <c r="C1916"/>
    </row>
    <row r="1917" spans="2:3" x14ac:dyDescent="0.25">
      <c r="B1917"/>
      <c r="C1917"/>
    </row>
    <row r="1918" spans="2:3" x14ac:dyDescent="0.25">
      <c r="B1918"/>
      <c r="C1918"/>
    </row>
    <row r="1919" spans="2:3" x14ac:dyDescent="0.25">
      <c r="B1919"/>
      <c r="C1919"/>
    </row>
    <row r="1920" spans="2:3" x14ac:dyDescent="0.25">
      <c r="B1920"/>
      <c r="C1920"/>
    </row>
    <row r="1921" spans="2:3" x14ac:dyDescent="0.25">
      <c r="B1921"/>
      <c r="C1921"/>
    </row>
    <row r="1922" spans="2:3" x14ac:dyDescent="0.25">
      <c r="B1922"/>
      <c r="C1922"/>
    </row>
    <row r="1923" spans="2:3" x14ac:dyDescent="0.25">
      <c r="B1923"/>
      <c r="C1923"/>
    </row>
    <row r="1924" spans="2:3" x14ac:dyDescent="0.25">
      <c r="B1924"/>
      <c r="C1924"/>
    </row>
    <row r="1925" spans="2:3" x14ac:dyDescent="0.25">
      <c r="B1925"/>
      <c r="C1925"/>
    </row>
    <row r="1926" spans="2:3" x14ac:dyDescent="0.25">
      <c r="B1926"/>
      <c r="C1926"/>
    </row>
    <row r="1927" spans="2:3" x14ac:dyDescent="0.25">
      <c r="B1927"/>
      <c r="C1927"/>
    </row>
    <row r="1928" spans="2:3" x14ac:dyDescent="0.25">
      <c r="B1928"/>
      <c r="C1928"/>
    </row>
    <row r="1929" spans="2:3" x14ac:dyDescent="0.25">
      <c r="B1929"/>
      <c r="C1929"/>
    </row>
    <row r="1930" spans="2:3" x14ac:dyDescent="0.25">
      <c r="B1930"/>
      <c r="C1930"/>
    </row>
    <row r="1931" spans="2:3" x14ac:dyDescent="0.25">
      <c r="B1931"/>
      <c r="C1931"/>
    </row>
    <row r="1932" spans="2:3" x14ac:dyDescent="0.25">
      <c r="B1932"/>
      <c r="C1932"/>
    </row>
    <row r="1933" spans="2:3" x14ac:dyDescent="0.25">
      <c r="B1933"/>
      <c r="C1933"/>
    </row>
    <row r="1934" spans="2:3" x14ac:dyDescent="0.25">
      <c r="B1934"/>
      <c r="C1934"/>
    </row>
    <row r="1935" spans="2:3" x14ac:dyDescent="0.25">
      <c r="B1935"/>
      <c r="C1935"/>
    </row>
    <row r="1936" spans="2:3" x14ac:dyDescent="0.25">
      <c r="B1936"/>
      <c r="C1936"/>
    </row>
    <row r="1937" spans="2:3" x14ac:dyDescent="0.25">
      <c r="B1937"/>
      <c r="C1937"/>
    </row>
    <row r="1938" spans="2:3" x14ac:dyDescent="0.25">
      <c r="B1938"/>
      <c r="C1938"/>
    </row>
    <row r="1939" spans="2:3" x14ac:dyDescent="0.25">
      <c r="B1939"/>
      <c r="C1939"/>
    </row>
    <row r="1940" spans="2:3" x14ac:dyDescent="0.25">
      <c r="B1940"/>
      <c r="C1940"/>
    </row>
    <row r="1941" spans="2:3" x14ac:dyDescent="0.25">
      <c r="B1941"/>
      <c r="C1941"/>
    </row>
    <row r="1942" spans="2:3" x14ac:dyDescent="0.25">
      <c r="B1942"/>
      <c r="C1942"/>
    </row>
    <row r="1943" spans="2:3" x14ac:dyDescent="0.25">
      <c r="B1943"/>
      <c r="C1943"/>
    </row>
    <row r="1944" spans="2:3" x14ac:dyDescent="0.25">
      <c r="B1944"/>
      <c r="C1944"/>
    </row>
    <row r="1945" spans="2:3" x14ac:dyDescent="0.25">
      <c r="B1945"/>
      <c r="C1945"/>
    </row>
    <row r="1946" spans="2:3" x14ac:dyDescent="0.25">
      <c r="B1946"/>
      <c r="C1946"/>
    </row>
    <row r="1947" spans="2:3" x14ac:dyDescent="0.25">
      <c r="B1947"/>
      <c r="C1947"/>
    </row>
    <row r="1948" spans="2:3" x14ac:dyDescent="0.25">
      <c r="B1948"/>
      <c r="C1948"/>
    </row>
    <row r="1949" spans="2:3" x14ac:dyDescent="0.25">
      <c r="B1949"/>
      <c r="C1949"/>
    </row>
    <row r="1950" spans="2:3" x14ac:dyDescent="0.25">
      <c r="B1950"/>
      <c r="C1950"/>
    </row>
    <row r="1951" spans="2:3" x14ac:dyDescent="0.25">
      <c r="B1951"/>
      <c r="C1951"/>
    </row>
    <row r="1952" spans="2:3" x14ac:dyDescent="0.25">
      <c r="B1952"/>
      <c r="C1952"/>
    </row>
    <row r="1953" spans="2:3" x14ac:dyDescent="0.25">
      <c r="B1953"/>
      <c r="C1953"/>
    </row>
    <row r="1954" spans="2:3" x14ac:dyDescent="0.25">
      <c r="B1954"/>
      <c r="C1954"/>
    </row>
    <row r="1955" spans="2:3" x14ac:dyDescent="0.25">
      <c r="B1955"/>
      <c r="C1955"/>
    </row>
    <row r="1956" spans="2:3" x14ac:dyDescent="0.25">
      <c r="B1956"/>
      <c r="C1956"/>
    </row>
    <row r="1957" spans="2:3" x14ac:dyDescent="0.25">
      <c r="B1957"/>
      <c r="C1957"/>
    </row>
    <row r="1958" spans="2:3" x14ac:dyDescent="0.25">
      <c r="B1958"/>
      <c r="C1958"/>
    </row>
    <row r="1959" spans="2:3" x14ac:dyDescent="0.25">
      <c r="B1959"/>
      <c r="C1959"/>
    </row>
    <row r="1960" spans="2:3" x14ac:dyDescent="0.25">
      <c r="B1960"/>
      <c r="C1960"/>
    </row>
    <row r="1961" spans="2:3" x14ac:dyDescent="0.25">
      <c r="B1961"/>
      <c r="C1961"/>
    </row>
    <row r="1962" spans="2:3" x14ac:dyDescent="0.25">
      <c r="B1962"/>
      <c r="C1962"/>
    </row>
    <row r="1963" spans="2:3" x14ac:dyDescent="0.25">
      <c r="B1963"/>
      <c r="C1963"/>
    </row>
    <row r="1964" spans="2:3" x14ac:dyDescent="0.25">
      <c r="B1964"/>
      <c r="C1964"/>
    </row>
    <row r="1965" spans="2:3" x14ac:dyDescent="0.25">
      <c r="B1965"/>
      <c r="C1965"/>
    </row>
    <row r="1966" spans="2:3" x14ac:dyDescent="0.25">
      <c r="B1966"/>
      <c r="C1966"/>
    </row>
    <row r="1967" spans="2:3" x14ac:dyDescent="0.25">
      <c r="B1967"/>
      <c r="C1967"/>
    </row>
    <row r="1968" spans="2:3" x14ac:dyDescent="0.25">
      <c r="B1968"/>
      <c r="C1968"/>
    </row>
    <row r="1969" spans="2:3" x14ac:dyDescent="0.25">
      <c r="B1969"/>
      <c r="C1969"/>
    </row>
    <row r="1970" spans="2:3" x14ac:dyDescent="0.25">
      <c r="B1970"/>
      <c r="C1970"/>
    </row>
    <row r="1971" spans="2:3" x14ac:dyDescent="0.25">
      <c r="B1971"/>
      <c r="C1971"/>
    </row>
    <row r="1972" spans="2:3" x14ac:dyDescent="0.25">
      <c r="B1972"/>
      <c r="C1972"/>
    </row>
    <row r="1973" spans="2:3" x14ac:dyDescent="0.25">
      <c r="B1973"/>
      <c r="C1973"/>
    </row>
    <row r="1974" spans="2:3" x14ac:dyDescent="0.25">
      <c r="B1974"/>
      <c r="C1974"/>
    </row>
    <row r="1975" spans="2:3" x14ac:dyDescent="0.25">
      <c r="B1975"/>
      <c r="C1975"/>
    </row>
    <row r="1976" spans="2:3" x14ac:dyDescent="0.25">
      <c r="B1976"/>
      <c r="C1976"/>
    </row>
    <row r="1977" spans="2:3" x14ac:dyDescent="0.25">
      <c r="B1977"/>
      <c r="C1977"/>
    </row>
    <row r="1978" spans="2:3" x14ac:dyDescent="0.25">
      <c r="B1978"/>
      <c r="C1978"/>
    </row>
    <row r="1979" spans="2:3" x14ac:dyDescent="0.25">
      <c r="B1979"/>
      <c r="C1979"/>
    </row>
    <row r="1980" spans="2:3" x14ac:dyDescent="0.25">
      <c r="B1980"/>
      <c r="C1980"/>
    </row>
    <row r="1981" spans="2:3" x14ac:dyDescent="0.25">
      <c r="B1981"/>
      <c r="C1981"/>
    </row>
    <row r="1982" spans="2:3" x14ac:dyDescent="0.25">
      <c r="B1982"/>
      <c r="C1982"/>
    </row>
    <row r="1983" spans="2:3" x14ac:dyDescent="0.25">
      <c r="B1983"/>
      <c r="C1983"/>
    </row>
    <row r="1984" spans="2:3" x14ac:dyDescent="0.25">
      <c r="B1984"/>
      <c r="C1984"/>
    </row>
    <row r="1985" spans="2:3" x14ac:dyDescent="0.25">
      <c r="B1985"/>
      <c r="C1985"/>
    </row>
    <row r="1986" spans="2:3" x14ac:dyDescent="0.25">
      <c r="B1986"/>
      <c r="C1986"/>
    </row>
    <row r="1987" spans="2:3" x14ac:dyDescent="0.25">
      <c r="B1987"/>
      <c r="C1987"/>
    </row>
    <row r="1988" spans="2:3" x14ac:dyDescent="0.25">
      <c r="B1988"/>
      <c r="C1988"/>
    </row>
    <row r="1989" spans="2:3" x14ac:dyDescent="0.25">
      <c r="B1989"/>
      <c r="C1989"/>
    </row>
    <row r="1990" spans="2:3" x14ac:dyDescent="0.25">
      <c r="B1990"/>
      <c r="C1990"/>
    </row>
    <row r="1991" spans="2:3" x14ac:dyDescent="0.25">
      <c r="B1991"/>
      <c r="C1991"/>
    </row>
    <row r="1992" spans="2:3" x14ac:dyDescent="0.25">
      <c r="B1992"/>
      <c r="C1992"/>
    </row>
    <row r="1993" spans="2:3" x14ac:dyDescent="0.25">
      <c r="B1993"/>
      <c r="C1993"/>
    </row>
    <row r="1994" spans="2:3" x14ac:dyDescent="0.25">
      <c r="B1994"/>
      <c r="C1994"/>
    </row>
    <row r="1995" spans="2:3" x14ac:dyDescent="0.25">
      <c r="B1995"/>
      <c r="C1995"/>
    </row>
    <row r="1996" spans="2:3" x14ac:dyDescent="0.25">
      <c r="B1996"/>
      <c r="C1996"/>
    </row>
    <row r="1997" spans="2:3" x14ac:dyDescent="0.25">
      <c r="B1997"/>
      <c r="C1997"/>
    </row>
    <row r="1998" spans="2:3" x14ac:dyDescent="0.25">
      <c r="B1998"/>
      <c r="C1998"/>
    </row>
    <row r="1999" spans="2:3" x14ac:dyDescent="0.25">
      <c r="B1999"/>
      <c r="C1999"/>
    </row>
    <row r="2000" spans="2:3" x14ac:dyDescent="0.25">
      <c r="B2000"/>
      <c r="C2000"/>
    </row>
    <row r="2001" spans="2:3" x14ac:dyDescent="0.25">
      <c r="B2001"/>
      <c r="C2001"/>
    </row>
    <row r="2002" spans="2:3" x14ac:dyDescent="0.25">
      <c r="B2002"/>
      <c r="C2002"/>
    </row>
    <row r="2003" spans="2:3" x14ac:dyDescent="0.25">
      <c r="B2003"/>
      <c r="C2003"/>
    </row>
    <row r="2004" spans="2:3" x14ac:dyDescent="0.25">
      <c r="B2004"/>
      <c r="C2004"/>
    </row>
    <row r="2005" spans="2:3" x14ac:dyDescent="0.25">
      <c r="B2005"/>
      <c r="C2005"/>
    </row>
    <row r="2006" spans="2:3" x14ac:dyDescent="0.25">
      <c r="B2006"/>
      <c r="C2006"/>
    </row>
    <row r="2007" spans="2:3" x14ac:dyDescent="0.25">
      <c r="B2007"/>
      <c r="C2007"/>
    </row>
    <row r="2008" spans="2:3" x14ac:dyDescent="0.25">
      <c r="B2008"/>
      <c r="C2008"/>
    </row>
    <row r="2009" spans="2:3" x14ac:dyDescent="0.25">
      <c r="B2009"/>
      <c r="C2009"/>
    </row>
    <row r="2010" spans="2:3" x14ac:dyDescent="0.25">
      <c r="B2010"/>
      <c r="C2010"/>
    </row>
    <row r="2011" spans="2:3" x14ac:dyDescent="0.25">
      <c r="B2011"/>
      <c r="C2011"/>
    </row>
    <row r="2012" spans="2:3" x14ac:dyDescent="0.25">
      <c r="B2012"/>
      <c r="C2012"/>
    </row>
    <row r="2013" spans="2:3" x14ac:dyDescent="0.25">
      <c r="B2013"/>
      <c r="C2013"/>
    </row>
    <row r="2014" spans="2:3" x14ac:dyDescent="0.25">
      <c r="B2014"/>
      <c r="C2014"/>
    </row>
    <row r="2015" spans="2:3" x14ac:dyDescent="0.25">
      <c r="B2015"/>
      <c r="C2015"/>
    </row>
    <row r="2016" spans="2:3" x14ac:dyDescent="0.25">
      <c r="B2016"/>
      <c r="C2016"/>
    </row>
    <row r="2017" spans="2:3" x14ac:dyDescent="0.25">
      <c r="B2017"/>
      <c r="C2017"/>
    </row>
    <row r="2018" spans="2:3" x14ac:dyDescent="0.25">
      <c r="B2018"/>
      <c r="C2018"/>
    </row>
    <row r="2019" spans="2:3" x14ac:dyDescent="0.25">
      <c r="B2019"/>
      <c r="C2019"/>
    </row>
    <row r="2020" spans="2:3" x14ac:dyDescent="0.25">
      <c r="B2020"/>
      <c r="C2020"/>
    </row>
    <row r="2021" spans="2:3" x14ac:dyDescent="0.25">
      <c r="B2021"/>
      <c r="C2021"/>
    </row>
    <row r="2022" spans="2:3" x14ac:dyDescent="0.25">
      <c r="B2022"/>
      <c r="C2022"/>
    </row>
    <row r="2023" spans="2:3" x14ac:dyDescent="0.25">
      <c r="B2023"/>
      <c r="C2023"/>
    </row>
    <row r="2024" spans="2:3" x14ac:dyDescent="0.25">
      <c r="B2024"/>
      <c r="C2024"/>
    </row>
    <row r="2025" spans="2:3" x14ac:dyDescent="0.25">
      <c r="B2025"/>
      <c r="C2025"/>
    </row>
    <row r="2026" spans="2:3" x14ac:dyDescent="0.25">
      <c r="B2026"/>
      <c r="C2026"/>
    </row>
    <row r="2027" spans="2:3" x14ac:dyDescent="0.25">
      <c r="B2027"/>
      <c r="C2027"/>
    </row>
    <row r="2028" spans="2:3" x14ac:dyDescent="0.25">
      <c r="B2028"/>
      <c r="C2028"/>
    </row>
    <row r="2029" spans="2:3" x14ac:dyDescent="0.25">
      <c r="B2029"/>
      <c r="C2029"/>
    </row>
    <row r="2030" spans="2:3" x14ac:dyDescent="0.25">
      <c r="B2030"/>
      <c r="C2030"/>
    </row>
    <row r="2031" spans="2:3" x14ac:dyDescent="0.25">
      <c r="B2031"/>
      <c r="C2031"/>
    </row>
    <row r="2032" spans="2:3" x14ac:dyDescent="0.25">
      <c r="B2032"/>
      <c r="C2032"/>
    </row>
    <row r="2033" spans="2:3" x14ac:dyDescent="0.25">
      <c r="B2033"/>
      <c r="C2033"/>
    </row>
    <row r="2034" spans="2:3" x14ac:dyDescent="0.25">
      <c r="B2034"/>
      <c r="C2034"/>
    </row>
    <row r="2035" spans="2:3" x14ac:dyDescent="0.25">
      <c r="B2035"/>
      <c r="C2035"/>
    </row>
    <row r="2036" spans="2:3" x14ac:dyDescent="0.25">
      <c r="B2036"/>
      <c r="C2036"/>
    </row>
    <row r="2037" spans="2:3" x14ac:dyDescent="0.25">
      <c r="B2037"/>
      <c r="C2037"/>
    </row>
    <row r="2038" spans="2:3" x14ac:dyDescent="0.25">
      <c r="B2038"/>
      <c r="C2038"/>
    </row>
    <row r="2039" spans="2:3" x14ac:dyDescent="0.25">
      <c r="B2039"/>
      <c r="C2039"/>
    </row>
    <row r="2040" spans="2:3" x14ac:dyDescent="0.25">
      <c r="B2040"/>
      <c r="C2040"/>
    </row>
    <row r="2041" spans="2:3" x14ac:dyDescent="0.25">
      <c r="B2041"/>
      <c r="C2041"/>
    </row>
    <row r="2042" spans="2:3" x14ac:dyDescent="0.25">
      <c r="B2042"/>
      <c r="C2042"/>
    </row>
    <row r="2043" spans="2:3" x14ac:dyDescent="0.25">
      <c r="B2043"/>
      <c r="C2043"/>
    </row>
    <row r="2044" spans="2:3" x14ac:dyDescent="0.25">
      <c r="B2044"/>
      <c r="C2044"/>
    </row>
    <row r="2045" spans="2:3" x14ac:dyDescent="0.25">
      <c r="B2045"/>
      <c r="C2045"/>
    </row>
    <row r="2046" spans="2:3" x14ac:dyDescent="0.25">
      <c r="B2046"/>
      <c r="C2046"/>
    </row>
    <row r="2047" spans="2:3" x14ac:dyDescent="0.25">
      <c r="B2047"/>
      <c r="C2047"/>
    </row>
    <row r="2048" spans="2:3" x14ac:dyDescent="0.25">
      <c r="B2048"/>
      <c r="C2048"/>
    </row>
    <row r="2049" spans="2:3" x14ac:dyDescent="0.25">
      <c r="B2049"/>
      <c r="C2049"/>
    </row>
    <row r="2050" spans="2:3" x14ac:dyDescent="0.25">
      <c r="B2050"/>
      <c r="C2050"/>
    </row>
    <row r="2051" spans="2:3" x14ac:dyDescent="0.25">
      <c r="B2051"/>
      <c r="C2051"/>
    </row>
    <row r="2052" spans="2:3" x14ac:dyDescent="0.25">
      <c r="B2052"/>
      <c r="C2052"/>
    </row>
    <row r="2053" spans="2:3" x14ac:dyDescent="0.25">
      <c r="B2053"/>
      <c r="C2053"/>
    </row>
    <row r="2054" spans="2:3" x14ac:dyDescent="0.25">
      <c r="B2054"/>
      <c r="C2054"/>
    </row>
    <row r="2055" spans="2:3" x14ac:dyDescent="0.25">
      <c r="B2055"/>
      <c r="C2055"/>
    </row>
    <row r="2056" spans="2:3" x14ac:dyDescent="0.25">
      <c r="B2056"/>
      <c r="C2056"/>
    </row>
    <row r="2057" spans="2:3" x14ac:dyDescent="0.25">
      <c r="B2057"/>
      <c r="C2057"/>
    </row>
    <row r="2058" spans="2:3" x14ac:dyDescent="0.25">
      <c r="B2058"/>
      <c r="C2058"/>
    </row>
    <row r="2059" spans="2:3" x14ac:dyDescent="0.25">
      <c r="B2059"/>
      <c r="C2059"/>
    </row>
    <row r="2060" spans="2:3" x14ac:dyDescent="0.25">
      <c r="B2060"/>
      <c r="C2060"/>
    </row>
    <row r="2061" spans="2:3" x14ac:dyDescent="0.25">
      <c r="B2061"/>
      <c r="C2061"/>
    </row>
    <row r="2062" spans="2:3" x14ac:dyDescent="0.25">
      <c r="B2062"/>
      <c r="C2062"/>
    </row>
    <row r="2063" spans="2:3" x14ac:dyDescent="0.25">
      <c r="B2063"/>
      <c r="C2063"/>
    </row>
    <row r="2064" spans="2:3" x14ac:dyDescent="0.25">
      <c r="B2064"/>
      <c r="C2064"/>
    </row>
    <row r="2065" spans="2:3" x14ac:dyDescent="0.25">
      <c r="B2065"/>
      <c r="C2065"/>
    </row>
    <row r="2066" spans="2:3" x14ac:dyDescent="0.25">
      <c r="B2066"/>
      <c r="C2066"/>
    </row>
    <row r="2067" spans="2:3" x14ac:dyDescent="0.25">
      <c r="B2067"/>
      <c r="C2067"/>
    </row>
    <row r="2068" spans="2:3" x14ac:dyDescent="0.25">
      <c r="B2068"/>
      <c r="C2068"/>
    </row>
    <row r="2069" spans="2:3" x14ac:dyDescent="0.25">
      <c r="B2069"/>
      <c r="C2069"/>
    </row>
    <row r="2070" spans="2:3" x14ac:dyDescent="0.25">
      <c r="B2070"/>
      <c r="C2070"/>
    </row>
    <row r="2071" spans="2:3" x14ac:dyDescent="0.25">
      <c r="B2071"/>
      <c r="C2071"/>
    </row>
    <row r="2072" spans="2:3" x14ac:dyDescent="0.25">
      <c r="B2072"/>
      <c r="C2072"/>
    </row>
    <row r="2073" spans="2:3" x14ac:dyDescent="0.25">
      <c r="B2073"/>
      <c r="C2073"/>
    </row>
    <row r="2074" spans="2:3" x14ac:dyDescent="0.25">
      <c r="B2074"/>
      <c r="C2074"/>
    </row>
    <row r="2075" spans="2:3" x14ac:dyDescent="0.25">
      <c r="B2075"/>
      <c r="C2075"/>
    </row>
    <row r="2076" spans="2:3" x14ac:dyDescent="0.25">
      <c r="B2076"/>
      <c r="C2076"/>
    </row>
    <row r="2077" spans="2:3" x14ac:dyDescent="0.25">
      <c r="B2077"/>
      <c r="C2077"/>
    </row>
    <row r="2078" spans="2:3" x14ac:dyDescent="0.25">
      <c r="B2078"/>
      <c r="C2078"/>
    </row>
    <row r="2079" spans="2:3" x14ac:dyDescent="0.25">
      <c r="B2079"/>
      <c r="C2079"/>
    </row>
    <row r="2080" spans="2:3" x14ac:dyDescent="0.25">
      <c r="B2080"/>
      <c r="C2080"/>
    </row>
    <row r="2081" spans="2:3" x14ac:dyDescent="0.25">
      <c r="B2081"/>
      <c r="C2081"/>
    </row>
    <row r="2082" spans="2:3" x14ac:dyDescent="0.25">
      <c r="B2082"/>
      <c r="C2082"/>
    </row>
    <row r="2083" spans="2:3" x14ac:dyDescent="0.25">
      <c r="B2083"/>
      <c r="C2083"/>
    </row>
    <row r="2084" spans="2:3" x14ac:dyDescent="0.25">
      <c r="B2084"/>
      <c r="C2084"/>
    </row>
    <row r="2085" spans="2:3" x14ac:dyDescent="0.25">
      <c r="B2085"/>
      <c r="C2085"/>
    </row>
    <row r="2086" spans="2:3" x14ac:dyDescent="0.25">
      <c r="B2086"/>
      <c r="C2086"/>
    </row>
    <row r="2087" spans="2:3" x14ac:dyDescent="0.25">
      <c r="B2087"/>
      <c r="C2087"/>
    </row>
    <row r="2088" spans="2:3" x14ac:dyDescent="0.25">
      <c r="B2088"/>
      <c r="C2088"/>
    </row>
    <row r="2089" spans="2:3" x14ac:dyDescent="0.25">
      <c r="B2089"/>
      <c r="C2089"/>
    </row>
    <row r="2090" spans="2:3" x14ac:dyDescent="0.25">
      <c r="B2090"/>
      <c r="C2090"/>
    </row>
    <row r="2091" spans="2:3" x14ac:dyDescent="0.25">
      <c r="B2091"/>
      <c r="C2091"/>
    </row>
    <row r="2092" spans="2:3" x14ac:dyDescent="0.25">
      <c r="B2092"/>
      <c r="C2092"/>
    </row>
    <row r="2093" spans="2:3" x14ac:dyDescent="0.25">
      <c r="B2093"/>
      <c r="C2093"/>
    </row>
    <row r="2094" spans="2:3" x14ac:dyDescent="0.25">
      <c r="B2094"/>
      <c r="C2094"/>
    </row>
    <row r="2095" spans="2:3" x14ac:dyDescent="0.25">
      <c r="B2095"/>
      <c r="C2095"/>
    </row>
    <row r="2096" spans="2:3" x14ac:dyDescent="0.25">
      <c r="B2096"/>
      <c r="C2096"/>
    </row>
    <row r="2097" spans="2:3" x14ac:dyDescent="0.25">
      <c r="B2097"/>
      <c r="C2097"/>
    </row>
    <row r="2098" spans="2:3" x14ac:dyDescent="0.25">
      <c r="B2098"/>
      <c r="C2098"/>
    </row>
    <row r="2099" spans="2:3" x14ac:dyDescent="0.25">
      <c r="B2099"/>
      <c r="C2099"/>
    </row>
    <row r="2100" spans="2:3" x14ac:dyDescent="0.25">
      <c r="B2100"/>
      <c r="C2100"/>
    </row>
    <row r="2101" spans="2:3" x14ac:dyDescent="0.25">
      <c r="B2101"/>
      <c r="C2101"/>
    </row>
    <row r="2102" spans="2:3" x14ac:dyDescent="0.25">
      <c r="B2102"/>
      <c r="C2102"/>
    </row>
    <row r="2103" spans="2:3" x14ac:dyDescent="0.25">
      <c r="B2103"/>
      <c r="C2103"/>
    </row>
    <row r="2104" spans="2:3" x14ac:dyDescent="0.25">
      <c r="B2104"/>
      <c r="C2104"/>
    </row>
    <row r="2105" spans="2:3" x14ac:dyDescent="0.25">
      <c r="B2105"/>
      <c r="C2105"/>
    </row>
    <row r="2106" spans="2:3" x14ac:dyDescent="0.25">
      <c r="B2106"/>
      <c r="C2106"/>
    </row>
    <row r="2107" spans="2:3" x14ac:dyDescent="0.25">
      <c r="B2107"/>
      <c r="C2107"/>
    </row>
    <row r="2108" spans="2:3" x14ac:dyDescent="0.25">
      <c r="B2108"/>
      <c r="C2108"/>
    </row>
    <row r="2109" spans="2:3" x14ac:dyDescent="0.25">
      <c r="B2109"/>
      <c r="C2109"/>
    </row>
    <row r="2110" spans="2:3" x14ac:dyDescent="0.25">
      <c r="B2110"/>
      <c r="C2110"/>
    </row>
    <row r="2111" spans="2:3" x14ac:dyDescent="0.25">
      <c r="B2111"/>
      <c r="C2111"/>
    </row>
    <row r="2112" spans="2:3" x14ac:dyDescent="0.25">
      <c r="B2112"/>
      <c r="C2112"/>
    </row>
    <row r="2113" spans="2:3" x14ac:dyDescent="0.25">
      <c r="B2113"/>
      <c r="C2113"/>
    </row>
    <row r="2114" spans="2:3" x14ac:dyDescent="0.25">
      <c r="B2114"/>
      <c r="C2114"/>
    </row>
    <row r="2115" spans="2:3" x14ac:dyDescent="0.25">
      <c r="B2115"/>
      <c r="C2115"/>
    </row>
    <row r="2116" spans="2:3" x14ac:dyDescent="0.25">
      <c r="B2116"/>
      <c r="C2116"/>
    </row>
    <row r="2117" spans="2:3" x14ac:dyDescent="0.25">
      <c r="B2117"/>
      <c r="C2117"/>
    </row>
    <row r="2118" spans="2:3" x14ac:dyDescent="0.25">
      <c r="B2118"/>
      <c r="C2118"/>
    </row>
    <row r="2119" spans="2:3" x14ac:dyDescent="0.25">
      <c r="B2119"/>
      <c r="C2119"/>
    </row>
    <row r="2120" spans="2:3" x14ac:dyDescent="0.25">
      <c r="B2120"/>
      <c r="C2120"/>
    </row>
    <row r="2121" spans="2:3" x14ac:dyDescent="0.25">
      <c r="B2121"/>
      <c r="C2121"/>
    </row>
    <row r="2122" spans="2:3" x14ac:dyDescent="0.25">
      <c r="B2122"/>
      <c r="C2122"/>
    </row>
    <row r="2123" spans="2:3" x14ac:dyDescent="0.25">
      <c r="B2123"/>
      <c r="C2123"/>
    </row>
    <row r="2124" spans="2:3" x14ac:dyDescent="0.25">
      <c r="B2124"/>
      <c r="C2124"/>
    </row>
    <row r="2125" spans="2:3" x14ac:dyDescent="0.25">
      <c r="B2125"/>
      <c r="C2125"/>
    </row>
    <row r="2126" spans="2:3" x14ac:dyDescent="0.25">
      <c r="B2126"/>
      <c r="C2126"/>
    </row>
    <row r="2127" spans="2:3" x14ac:dyDescent="0.25">
      <c r="B2127"/>
      <c r="C2127"/>
    </row>
    <row r="2128" spans="2:3" x14ac:dyDescent="0.25">
      <c r="B2128"/>
      <c r="C2128"/>
    </row>
    <row r="2129" spans="2:3" x14ac:dyDescent="0.25">
      <c r="B2129"/>
      <c r="C2129"/>
    </row>
    <row r="2130" spans="2:3" x14ac:dyDescent="0.25">
      <c r="B2130"/>
      <c r="C2130"/>
    </row>
    <row r="2131" spans="2:3" x14ac:dyDescent="0.25">
      <c r="B2131"/>
      <c r="C2131"/>
    </row>
    <row r="2132" spans="2:3" x14ac:dyDescent="0.25">
      <c r="B2132"/>
      <c r="C2132"/>
    </row>
    <row r="2133" spans="2:3" x14ac:dyDescent="0.25">
      <c r="B2133"/>
      <c r="C2133"/>
    </row>
    <row r="2134" spans="2:3" x14ac:dyDescent="0.25">
      <c r="B2134"/>
      <c r="C2134"/>
    </row>
    <row r="2135" spans="2:3" x14ac:dyDescent="0.25">
      <c r="B2135"/>
      <c r="C2135"/>
    </row>
    <row r="2136" spans="2:3" x14ac:dyDescent="0.25">
      <c r="B2136"/>
      <c r="C2136"/>
    </row>
    <row r="2137" spans="2:3" x14ac:dyDescent="0.25">
      <c r="B2137"/>
      <c r="C2137"/>
    </row>
    <row r="2138" spans="2:3" x14ac:dyDescent="0.25">
      <c r="B2138"/>
      <c r="C2138"/>
    </row>
    <row r="2139" spans="2:3" x14ac:dyDescent="0.25">
      <c r="B2139"/>
      <c r="C2139"/>
    </row>
    <row r="2140" spans="2:3" x14ac:dyDescent="0.25">
      <c r="B2140"/>
      <c r="C2140"/>
    </row>
    <row r="2141" spans="2:3" x14ac:dyDescent="0.25">
      <c r="B2141"/>
      <c r="C2141"/>
    </row>
    <row r="2142" spans="2:3" x14ac:dyDescent="0.25">
      <c r="B2142"/>
      <c r="C2142"/>
    </row>
    <row r="2143" spans="2:3" x14ac:dyDescent="0.25">
      <c r="B2143"/>
      <c r="C2143"/>
    </row>
    <row r="2144" spans="2:3" x14ac:dyDescent="0.25">
      <c r="B2144"/>
      <c r="C2144"/>
    </row>
    <row r="2145" spans="2:3" x14ac:dyDescent="0.25">
      <c r="B2145"/>
      <c r="C2145"/>
    </row>
    <row r="2146" spans="2:3" x14ac:dyDescent="0.25">
      <c r="B2146"/>
      <c r="C2146"/>
    </row>
    <row r="2147" spans="2:3" x14ac:dyDescent="0.25">
      <c r="B2147"/>
      <c r="C2147"/>
    </row>
    <row r="2148" spans="2:3" x14ac:dyDescent="0.25">
      <c r="B2148"/>
      <c r="C2148"/>
    </row>
    <row r="2149" spans="2:3" x14ac:dyDescent="0.25">
      <c r="B2149"/>
      <c r="C2149"/>
    </row>
    <row r="2150" spans="2:3" x14ac:dyDescent="0.25">
      <c r="B2150"/>
      <c r="C2150"/>
    </row>
    <row r="2151" spans="2:3" x14ac:dyDescent="0.25">
      <c r="B2151"/>
      <c r="C2151"/>
    </row>
    <row r="2152" spans="2:3" x14ac:dyDescent="0.25">
      <c r="B2152"/>
      <c r="C2152"/>
    </row>
    <row r="2153" spans="2:3" x14ac:dyDescent="0.25">
      <c r="B2153"/>
      <c r="C2153"/>
    </row>
    <row r="2154" spans="2:3" x14ac:dyDescent="0.25">
      <c r="B2154"/>
      <c r="C2154"/>
    </row>
    <row r="2155" spans="2:3" x14ac:dyDescent="0.25">
      <c r="B2155"/>
      <c r="C2155"/>
    </row>
    <row r="2156" spans="2:3" x14ac:dyDescent="0.25">
      <c r="B2156"/>
      <c r="C2156"/>
    </row>
    <row r="2157" spans="2:3" x14ac:dyDescent="0.25">
      <c r="B2157"/>
      <c r="C2157"/>
    </row>
    <row r="2158" spans="2:3" x14ac:dyDescent="0.25">
      <c r="B2158"/>
      <c r="C2158"/>
    </row>
    <row r="2159" spans="2:3" x14ac:dyDescent="0.25">
      <c r="B2159"/>
      <c r="C2159"/>
    </row>
    <row r="2160" spans="2:3" x14ac:dyDescent="0.25">
      <c r="B2160"/>
      <c r="C2160"/>
    </row>
    <row r="2161" spans="2:3" x14ac:dyDescent="0.25">
      <c r="B2161"/>
      <c r="C2161"/>
    </row>
    <row r="2162" spans="2:3" x14ac:dyDescent="0.25">
      <c r="B2162"/>
      <c r="C2162"/>
    </row>
    <row r="2163" spans="2:3" x14ac:dyDescent="0.25">
      <c r="B2163"/>
      <c r="C2163"/>
    </row>
    <row r="2164" spans="2:3" x14ac:dyDescent="0.25">
      <c r="B2164"/>
      <c r="C2164"/>
    </row>
    <row r="2165" spans="2:3" x14ac:dyDescent="0.25">
      <c r="B2165"/>
      <c r="C2165"/>
    </row>
    <row r="2166" spans="2:3" x14ac:dyDescent="0.25">
      <c r="B2166"/>
      <c r="C2166"/>
    </row>
    <row r="2167" spans="2:3" x14ac:dyDescent="0.25">
      <c r="B2167"/>
      <c r="C2167"/>
    </row>
    <row r="2168" spans="2:3" x14ac:dyDescent="0.25">
      <c r="B2168"/>
      <c r="C2168"/>
    </row>
    <row r="2169" spans="2:3" x14ac:dyDescent="0.25">
      <c r="B2169"/>
      <c r="C2169"/>
    </row>
    <row r="2170" spans="2:3" x14ac:dyDescent="0.25">
      <c r="B2170"/>
      <c r="C2170"/>
    </row>
    <row r="2171" spans="2:3" x14ac:dyDescent="0.25">
      <c r="B2171"/>
      <c r="C2171"/>
    </row>
    <row r="2172" spans="2:3" x14ac:dyDescent="0.25">
      <c r="B2172"/>
      <c r="C2172"/>
    </row>
    <row r="2173" spans="2:3" x14ac:dyDescent="0.25">
      <c r="B2173"/>
      <c r="C2173"/>
    </row>
    <row r="2174" spans="2:3" x14ac:dyDescent="0.25">
      <c r="B2174"/>
      <c r="C2174"/>
    </row>
    <row r="2175" spans="2:3" x14ac:dyDescent="0.25">
      <c r="B2175"/>
      <c r="C2175"/>
    </row>
    <row r="2176" spans="2:3" x14ac:dyDescent="0.25">
      <c r="B2176"/>
      <c r="C2176"/>
    </row>
    <row r="2177" spans="2:3" x14ac:dyDescent="0.25">
      <c r="B2177"/>
      <c r="C2177"/>
    </row>
    <row r="2178" spans="2:3" x14ac:dyDescent="0.25">
      <c r="B2178"/>
      <c r="C2178"/>
    </row>
    <row r="2179" spans="2:3" x14ac:dyDescent="0.25">
      <c r="B2179"/>
      <c r="C2179"/>
    </row>
    <row r="2180" spans="2:3" x14ac:dyDescent="0.25">
      <c r="B2180"/>
      <c r="C2180"/>
    </row>
    <row r="2181" spans="2:3" x14ac:dyDescent="0.25">
      <c r="B2181"/>
      <c r="C2181"/>
    </row>
    <row r="2182" spans="2:3" x14ac:dyDescent="0.25">
      <c r="B2182"/>
      <c r="C2182"/>
    </row>
    <row r="2183" spans="2:3" x14ac:dyDescent="0.25">
      <c r="B2183"/>
      <c r="C2183"/>
    </row>
    <row r="2184" spans="2:3" x14ac:dyDescent="0.25">
      <c r="B2184"/>
      <c r="C2184"/>
    </row>
    <row r="2185" spans="2:3" x14ac:dyDescent="0.25">
      <c r="B2185"/>
      <c r="C2185"/>
    </row>
    <row r="2186" spans="2:3" x14ac:dyDescent="0.25">
      <c r="B2186"/>
      <c r="C2186"/>
    </row>
    <row r="2187" spans="2:3" x14ac:dyDescent="0.25">
      <c r="B2187"/>
      <c r="C2187"/>
    </row>
    <row r="2188" spans="2:3" x14ac:dyDescent="0.25">
      <c r="B2188"/>
      <c r="C2188"/>
    </row>
    <row r="2189" spans="2:3" x14ac:dyDescent="0.25">
      <c r="B2189"/>
      <c r="C2189"/>
    </row>
    <row r="2190" spans="2:3" x14ac:dyDescent="0.25">
      <c r="B2190"/>
      <c r="C2190"/>
    </row>
    <row r="2191" spans="2:3" x14ac:dyDescent="0.25">
      <c r="B2191"/>
      <c r="C2191"/>
    </row>
    <row r="2192" spans="2:3" x14ac:dyDescent="0.25">
      <c r="B2192"/>
      <c r="C2192"/>
    </row>
    <row r="2193" spans="2:3" x14ac:dyDescent="0.25">
      <c r="B2193"/>
      <c r="C2193"/>
    </row>
    <row r="2194" spans="2:3" x14ac:dyDescent="0.25">
      <c r="B2194"/>
      <c r="C2194"/>
    </row>
    <row r="2195" spans="2:3" x14ac:dyDescent="0.25">
      <c r="B2195"/>
      <c r="C2195"/>
    </row>
    <row r="2196" spans="2:3" x14ac:dyDescent="0.25">
      <c r="B2196"/>
      <c r="C2196"/>
    </row>
    <row r="2197" spans="2:3" x14ac:dyDescent="0.25">
      <c r="B2197"/>
      <c r="C2197"/>
    </row>
    <row r="2198" spans="2:3" x14ac:dyDescent="0.25">
      <c r="B2198"/>
      <c r="C2198"/>
    </row>
    <row r="2199" spans="2:3" x14ac:dyDescent="0.25">
      <c r="B2199"/>
      <c r="C2199"/>
    </row>
    <row r="2200" spans="2:3" x14ac:dyDescent="0.25">
      <c r="B2200"/>
      <c r="C2200"/>
    </row>
    <row r="2201" spans="2:3" x14ac:dyDescent="0.25">
      <c r="B2201"/>
      <c r="C2201"/>
    </row>
    <row r="2202" spans="2:3" x14ac:dyDescent="0.25">
      <c r="B2202"/>
      <c r="C2202"/>
    </row>
    <row r="2203" spans="2:3" x14ac:dyDescent="0.25">
      <c r="B2203"/>
      <c r="C2203"/>
    </row>
    <row r="2204" spans="2:3" x14ac:dyDescent="0.25">
      <c r="B2204"/>
      <c r="C2204"/>
    </row>
    <row r="2205" spans="2:3" x14ac:dyDescent="0.25">
      <c r="B2205"/>
      <c r="C2205"/>
    </row>
    <row r="2206" spans="2:3" x14ac:dyDescent="0.25">
      <c r="B2206"/>
      <c r="C2206"/>
    </row>
    <row r="2207" spans="2:3" x14ac:dyDescent="0.25">
      <c r="B2207"/>
      <c r="C2207"/>
    </row>
    <row r="2208" spans="2:3" x14ac:dyDescent="0.25">
      <c r="B2208"/>
      <c r="C2208"/>
    </row>
    <row r="2209" spans="2:3" x14ac:dyDescent="0.25">
      <c r="B2209"/>
      <c r="C2209"/>
    </row>
    <row r="2210" spans="2:3" x14ac:dyDescent="0.25">
      <c r="B2210"/>
      <c r="C2210"/>
    </row>
    <row r="2211" spans="2:3" x14ac:dyDescent="0.25">
      <c r="B2211"/>
      <c r="C2211"/>
    </row>
    <row r="2212" spans="2:3" x14ac:dyDescent="0.25">
      <c r="B2212"/>
      <c r="C2212"/>
    </row>
    <row r="2213" spans="2:3" x14ac:dyDescent="0.25">
      <c r="B2213"/>
      <c r="C2213"/>
    </row>
    <row r="2214" spans="2:3" x14ac:dyDescent="0.25">
      <c r="B2214"/>
      <c r="C2214"/>
    </row>
    <row r="2215" spans="2:3" x14ac:dyDescent="0.25">
      <c r="B2215"/>
      <c r="C2215"/>
    </row>
    <row r="2216" spans="2:3" x14ac:dyDescent="0.25">
      <c r="B2216"/>
      <c r="C2216"/>
    </row>
    <row r="2217" spans="2:3" x14ac:dyDescent="0.25">
      <c r="B2217"/>
      <c r="C2217"/>
    </row>
    <row r="2218" spans="2:3" x14ac:dyDescent="0.25">
      <c r="B2218"/>
      <c r="C2218"/>
    </row>
    <row r="2219" spans="2:3" x14ac:dyDescent="0.25">
      <c r="B2219"/>
      <c r="C2219"/>
    </row>
    <row r="2220" spans="2:3" x14ac:dyDescent="0.25">
      <c r="B2220"/>
      <c r="C2220"/>
    </row>
    <row r="2221" spans="2:3" x14ac:dyDescent="0.25">
      <c r="B2221"/>
      <c r="C2221"/>
    </row>
    <row r="2222" spans="2:3" x14ac:dyDescent="0.25">
      <c r="B2222"/>
      <c r="C2222"/>
    </row>
    <row r="2223" spans="2:3" x14ac:dyDescent="0.25">
      <c r="B2223"/>
      <c r="C2223"/>
    </row>
    <row r="2224" spans="2:3" x14ac:dyDescent="0.25">
      <c r="B2224"/>
      <c r="C2224"/>
    </row>
    <row r="2225" spans="2:3" x14ac:dyDescent="0.25">
      <c r="B2225"/>
      <c r="C2225"/>
    </row>
    <row r="2226" spans="2:3" x14ac:dyDescent="0.25">
      <c r="B2226"/>
      <c r="C2226"/>
    </row>
    <row r="2227" spans="2:3" x14ac:dyDescent="0.25">
      <c r="B2227"/>
      <c r="C2227"/>
    </row>
    <row r="2228" spans="2:3" x14ac:dyDescent="0.25">
      <c r="B2228"/>
      <c r="C2228"/>
    </row>
    <row r="2229" spans="2:3" x14ac:dyDescent="0.25">
      <c r="B2229"/>
      <c r="C2229"/>
    </row>
    <row r="2230" spans="2:3" x14ac:dyDescent="0.25">
      <c r="B2230"/>
      <c r="C2230"/>
    </row>
    <row r="2231" spans="2:3" x14ac:dyDescent="0.25">
      <c r="B2231"/>
      <c r="C2231"/>
    </row>
    <row r="2232" spans="2:3" x14ac:dyDescent="0.25">
      <c r="B2232"/>
      <c r="C2232"/>
    </row>
    <row r="2233" spans="2:3" x14ac:dyDescent="0.25">
      <c r="B2233"/>
      <c r="C2233"/>
    </row>
    <row r="2234" spans="2:3" x14ac:dyDescent="0.25">
      <c r="B2234"/>
      <c r="C2234"/>
    </row>
    <row r="2235" spans="2:3" x14ac:dyDescent="0.25">
      <c r="B2235"/>
      <c r="C2235"/>
    </row>
    <row r="2236" spans="2:3" x14ac:dyDescent="0.25">
      <c r="B2236"/>
      <c r="C2236"/>
    </row>
    <row r="2237" spans="2:3" x14ac:dyDescent="0.25">
      <c r="B2237"/>
      <c r="C2237"/>
    </row>
    <row r="2238" spans="2:3" x14ac:dyDescent="0.25">
      <c r="B2238"/>
      <c r="C2238"/>
    </row>
    <row r="2239" spans="2:3" x14ac:dyDescent="0.25">
      <c r="B2239"/>
      <c r="C2239"/>
    </row>
    <row r="2240" spans="2:3" x14ac:dyDescent="0.25">
      <c r="B2240"/>
      <c r="C2240"/>
    </row>
    <row r="2241" spans="2:3" x14ac:dyDescent="0.25">
      <c r="B2241"/>
      <c r="C2241"/>
    </row>
    <row r="2242" spans="2:3" x14ac:dyDescent="0.25">
      <c r="B2242"/>
      <c r="C2242"/>
    </row>
    <row r="2243" spans="2:3" x14ac:dyDescent="0.25">
      <c r="B2243"/>
      <c r="C2243"/>
    </row>
    <row r="2244" spans="2:3" x14ac:dyDescent="0.25">
      <c r="B2244"/>
      <c r="C2244"/>
    </row>
    <row r="2245" spans="2:3" x14ac:dyDescent="0.25">
      <c r="B2245"/>
      <c r="C2245"/>
    </row>
    <row r="2246" spans="2:3" x14ac:dyDescent="0.25">
      <c r="B2246"/>
      <c r="C2246"/>
    </row>
    <row r="2247" spans="2:3" x14ac:dyDescent="0.25">
      <c r="B2247"/>
      <c r="C2247"/>
    </row>
    <row r="2248" spans="2:3" x14ac:dyDescent="0.25">
      <c r="B2248"/>
      <c r="C2248"/>
    </row>
    <row r="2249" spans="2:3" x14ac:dyDescent="0.25">
      <c r="B2249"/>
      <c r="C2249"/>
    </row>
    <row r="2250" spans="2:3" x14ac:dyDescent="0.25">
      <c r="B2250"/>
      <c r="C2250"/>
    </row>
    <row r="2251" spans="2:3" x14ac:dyDescent="0.25">
      <c r="B2251"/>
      <c r="C2251"/>
    </row>
    <row r="2252" spans="2:3" x14ac:dyDescent="0.25">
      <c r="B2252"/>
      <c r="C2252"/>
    </row>
    <row r="2253" spans="2:3" x14ac:dyDescent="0.25">
      <c r="B2253"/>
      <c r="C2253"/>
    </row>
    <row r="2254" spans="2:3" x14ac:dyDescent="0.25">
      <c r="B2254"/>
      <c r="C2254"/>
    </row>
    <row r="2255" spans="2:3" x14ac:dyDescent="0.25">
      <c r="B2255"/>
      <c r="C2255"/>
    </row>
    <row r="2256" spans="2:3" x14ac:dyDescent="0.25">
      <c r="B2256"/>
      <c r="C2256"/>
    </row>
    <row r="2257" spans="2:3" x14ac:dyDescent="0.25">
      <c r="B2257"/>
      <c r="C2257"/>
    </row>
    <row r="2258" spans="2:3" x14ac:dyDescent="0.25">
      <c r="B2258"/>
      <c r="C2258"/>
    </row>
    <row r="2259" spans="2:3" x14ac:dyDescent="0.25">
      <c r="B2259"/>
      <c r="C2259"/>
    </row>
    <row r="2260" spans="2:3" x14ac:dyDescent="0.25">
      <c r="B2260"/>
      <c r="C2260"/>
    </row>
    <row r="2261" spans="2:3" x14ac:dyDescent="0.25">
      <c r="B2261"/>
      <c r="C2261"/>
    </row>
    <row r="2262" spans="2:3" x14ac:dyDescent="0.25">
      <c r="B2262"/>
      <c r="C2262"/>
    </row>
    <row r="2263" spans="2:3" x14ac:dyDescent="0.25">
      <c r="B2263"/>
      <c r="C2263"/>
    </row>
    <row r="2264" spans="2:3" x14ac:dyDescent="0.25">
      <c r="B2264"/>
      <c r="C2264"/>
    </row>
    <row r="2265" spans="2:3" x14ac:dyDescent="0.25">
      <c r="B2265"/>
      <c r="C2265"/>
    </row>
    <row r="2266" spans="2:3" x14ac:dyDescent="0.25">
      <c r="B2266"/>
      <c r="C2266"/>
    </row>
    <row r="2267" spans="2:3" x14ac:dyDescent="0.25">
      <c r="B2267"/>
      <c r="C2267"/>
    </row>
    <row r="2268" spans="2:3" x14ac:dyDescent="0.25">
      <c r="B2268"/>
      <c r="C2268"/>
    </row>
    <row r="2269" spans="2:3" x14ac:dyDescent="0.25">
      <c r="B2269"/>
      <c r="C2269"/>
    </row>
    <row r="2270" spans="2:3" x14ac:dyDescent="0.25">
      <c r="B2270"/>
      <c r="C2270"/>
    </row>
    <row r="2271" spans="2:3" x14ac:dyDescent="0.25">
      <c r="B2271"/>
      <c r="C2271"/>
    </row>
    <row r="2272" spans="2:3" x14ac:dyDescent="0.25">
      <c r="B2272"/>
      <c r="C2272"/>
    </row>
    <row r="2273" spans="2:3" x14ac:dyDescent="0.25">
      <c r="B2273"/>
      <c r="C2273"/>
    </row>
    <row r="2274" spans="2:3" x14ac:dyDescent="0.25">
      <c r="B2274"/>
      <c r="C2274"/>
    </row>
    <row r="2275" spans="2:3" x14ac:dyDescent="0.25">
      <c r="B2275"/>
      <c r="C2275"/>
    </row>
    <row r="2276" spans="2:3" x14ac:dyDescent="0.25">
      <c r="B2276"/>
      <c r="C2276"/>
    </row>
    <row r="2277" spans="2:3" x14ac:dyDescent="0.25">
      <c r="B2277"/>
      <c r="C2277"/>
    </row>
    <row r="2278" spans="2:3" x14ac:dyDescent="0.25">
      <c r="B2278"/>
      <c r="C2278"/>
    </row>
    <row r="2279" spans="2:3" x14ac:dyDescent="0.25">
      <c r="B2279"/>
      <c r="C2279"/>
    </row>
    <row r="2280" spans="2:3" x14ac:dyDescent="0.25">
      <c r="B2280"/>
      <c r="C2280"/>
    </row>
    <row r="2281" spans="2:3" x14ac:dyDescent="0.25">
      <c r="B2281"/>
      <c r="C2281"/>
    </row>
    <row r="2282" spans="2:3" x14ac:dyDescent="0.25">
      <c r="B2282"/>
      <c r="C2282"/>
    </row>
    <row r="2283" spans="2:3" x14ac:dyDescent="0.25">
      <c r="B2283"/>
      <c r="C2283"/>
    </row>
    <row r="2284" spans="2:3" x14ac:dyDescent="0.25">
      <c r="B2284"/>
      <c r="C2284"/>
    </row>
    <row r="2285" spans="2:3" x14ac:dyDescent="0.25">
      <c r="B2285"/>
      <c r="C2285"/>
    </row>
    <row r="2286" spans="2:3" x14ac:dyDescent="0.25">
      <c r="B2286"/>
      <c r="C2286"/>
    </row>
    <row r="2287" spans="2:3" x14ac:dyDescent="0.25">
      <c r="B2287"/>
      <c r="C2287"/>
    </row>
    <row r="2288" spans="2:3" x14ac:dyDescent="0.25">
      <c r="B2288"/>
      <c r="C2288"/>
    </row>
    <row r="2289" spans="2:3" x14ac:dyDescent="0.25">
      <c r="B2289"/>
      <c r="C2289"/>
    </row>
    <row r="2290" spans="2:3" x14ac:dyDescent="0.25">
      <c r="B2290"/>
      <c r="C2290"/>
    </row>
    <row r="2291" spans="2:3" x14ac:dyDescent="0.25">
      <c r="B2291"/>
      <c r="C2291"/>
    </row>
    <row r="2292" spans="2:3" x14ac:dyDescent="0.25">
      <c r="B2292"/>
      <c r="C2292"/>
    </row>
    <row r="2293" spans="2:3" x14ac:dyDescent="0.25">
      <c r="B2293"/>
      <c r="C2293"/>
    </row>
    <row r="2294" spans="2:3" x14ac:dyDescent="0.25">
      <c r="B2294"/>
      <c r="C2294"/>
    </row>
    <row r="2295" spans="2:3" x14ac:dyDescent="0.25">
      <c r="B2295"/>
      <c r="C2295"/>
    </row>
    <row r="2296" spans="2:3" x14ac:dyDescent="0.25">
      <c r="B2296"/>
      <c r="C2296"/>
    </row>
    <row r="2297" spans="2:3" x14ac:dyDescent="0.25">
      <c r="B2297"/>
      <c r="C2297"/>
    </row>
    <row r="2298" spans="2:3" x14ac:dyDescent="0.25">
      <c r="B2298"/>
      <c r="C2298"/>
    </row>
    <row r="2299" spans="2:3" x14ac:dyDescent="0.25">
      <c r="B2299"/>
      <c r="C2299"/>
    </row>
    <row r="2300" spans="2:3" x14ac:dyDescent="0.25">
      <c r="B2300"/>
      <c r="C2300"/>
    </row>
    <row r="2301" spans="2:3" x14ac:dyDescent="0.25">
      <c r="B2301"/>
      <c r="C2301"/>
    </row>
    <row r="2302" spans="2:3" x14ac:dyDescent="0.25">
      <c r="B2302"/>
      <c r="C2302"/>
    </row>
    <row r="2303" spans="2:3" x14ac:dyDescent="0.25">
      <c r="B2303"/>
      <c r="C2303"/>
    </row>
    <row r="2304" spans="2:3" x14ac:dyDescent="0.25">
      <c r="B2304"/>
      <c r="C2304"/>
    </row>
    <row r="2305" spans="2:3" x14ac:dyDescent="0.25">
      <c r="B2305"/>
      <c r="C2305"/>
    </row>
    <row r="2306" spans="2:3" x14ac:dyDescent="0.25">
      <c r="B2306"/>
      <c r="C2306"/>
    </row>
    <row r="2307" spans="2:3" x14ac:dyDescent="0.25">
      <c r="B2307"/>
      <c r="C2307"/>
    </row>
    <row r="2308" spans="2:3" x14ac:dyDescent="0.25">
      <c r="B2308"/>
      <c r="C2308"/>
    </row>
    <row r="2309" spans="2:3" x14ac:dyDescent="0.25">
      <c r="B2309"/>
      <c r="C2309"/>
    </row>
    <row r="2310" spans="2:3" x14ac:dyDescent="0.25">
      <c r="B2310"/>
      <c r="C2310"/>
    </row>
    <row r="2311" spans="2:3" x14ac:dyDescent="0.25">
      <c r="B2311"/>
      <c r="C2311"/>
    </row>
    <row r="2312" spans="2:3" x14ac:dyDescent="0.25">
      <c r="B2312"/>
      <c r="C2312"/>
    </row>
    <row r="2313" spans="2:3" x14ac:dyDescent="0.25">
      <c r="B2313"/>
      <c r="C2313"/>
    </row>
    <row r="2314" spans="2:3" x14ac:dyDescent="0.25">
      <c r="B2314"/>
      <c r="C2314"/>
    </row>
    <row r="2315" spans="2:3" x14ac:dyDescent="0.25">
      <c r="B2315"/>
      <c r="C2315"/>
    </row>
    <row r="2316" spans="2:3" x14ac:dyDescent="0.25">
      <c r="B2316"/>
      <c r="C2316"/>
    </row>
    <row r="2317" spans="2:3" x14ac:dyDescent="0.25">
      <c r="B2317"/>
      <c r="C2317"/>
    </row>
    <row r="2318" spans="2:3" x14ac:dyDescent="0.25">
      <c r="B2318"/>
      <c r="C2318"/>
    </row>
    <row r="2319" spans="2:3" x14ac:dyDescent="0.25">
      <c r="B2319"/>
      <c r="C2319"/>
    </row>
    <row r="2320" spans="2:3" x14ac:dyDescent="0.25">
      <c r="B2320"/>
      <c r="C2320"/>
    </row>
    <row r="2321" spans="2:3" x14ac:dyDescent="0.25">
      <c r="B2321"/>
      <c r="C2321"/>
    </row>
    <row r="2322" spans="2:3" x14ac:dyDescent="0.25">
      <c r="B2322"/>
      <c r="C2322"/>
    </row>
    <row r="2323" spans="2:3" x14ac:dyDescent="0.25">
      <c r="B2323"/>
      <c r="C2323"/>
    </row>
    <row r="2324" spans="2:3" x14ac:dyDescent="0.25">
      <c r="B2324"/>
      <c r="C2324"/>
    </row>
    <row r="2325" spans="2:3" x14ac:dyDescent="0.25">
      <c r="B2325"/>
      <c r="C2325"/>
    </row>
    <row r="2326" spans="2:3" x14ac:dyDescent="0.25">
      <c r="B2326"/>
      <c r="C2326"/>
    </row>
    <row r="2327" spans="2:3" x14ac:dyDescent="0.25">
      <c r="B2327"/>
      <c r="C2327"/>
    </row>
    <row r="2328" spans="2:3" x14ac:dyDescent="0.25">
      <c r="B2328"/>
      <c r="C2328"/>
    </row>
    <row r="2329" spans="2:3" x14ac:dyDescent="0.25">
      <c r="B2329"/>
      <c r="C2329"/>
    </row>
    <row r="2330" spans="2:3" x14ac:dyDescent="0.25">
      <c r="B2330"/>
      <c r="C2330"/>
    </row>
    <row r="2331" spans="2:3" x14ac:dyDescent="0.25">
      <c r="B2331"/>
      <c r="C2331"/>
    </row>
    <row r="2332" spans="2:3" x14ac:dyDescent="0.25">
      <c r="B2332"/>
      <c r="C2332"/>
    </row>
    <row r="2333" spans="2:3" x14ac:dyDescent="0.25">
      <c r="B2333"/>
      <c r="C2333"/>
    </row>
    <row r="2334" spans="2:3" x14ac:dyDescent="0.25">
      <c r="B2334"/>
      <c r="C2334"/>
    </row>
    <row r="2335" spans="2:3" x14ac:dyDescent="0.25">
      <c r="B2335"/>
      <c r="C2335"/>
    </row>
    <row r="2336" spans="2:3" x14ac:dyDescent="0.25">
      <c r="B2336"/>
      <c r="C2336"/>
    </row>
    <row r="2337" spans="2:3" x14ac:dyDescent="0.25">
      <c r="B2337"/>
      <c r="C2337"/>
    </row>
    <row r="2338" spans="2:3" x14ac:dyDescent="0.25">
      <c r="B2338"/>
      <c r="C2338"/>
    </row>
    <row r="2339" spans="2:3" x14ac:dyDescent="0.25">
      <c r="B2339"/>
      <c r="C2339"/>
    </row>
    <row r="2340" spans="2:3" x14ac:dyDescent="0.25">
      <c r="B2340"/>
      <c r="C2340"/>
    </row>
    <row r="2341" spans="2:3" x14ac:dyDescent="0.25">
      <c r="B2341"/>
      <c r="C2341"/>
    </row>
    <row r="2342" spans="2:3" x14ac:dyDescent="0.25">
      <c r="B2342"/>
      <c r="C2342"/>
    </row>
    <row r="2343" spans="2:3" x14ac:dyDescent="0.25">
      <c r="B2343"/>
      <c r="C2343"/>
    </row>
    <row r="2344" spans="2:3" x14ac:dyDescent="0.25">
      <c r="B2344"/>
      <c r="C2344"/>
    </row>
    <row r="2345" spans="2:3" x14ac:dyDescent="0.25">
      <c r="B2345"/>
      <c r="C2345"/>
    </row>
    <row r="2346" spans="2:3" x14ac:dyDescent="0.25">
      <c r="B2346"/>
      <c r="C2346"/>
    </row>
    <row r="2347" spans="2:3" x14ac:dyDescent="0.25">
      <c r="B2347"/>
      <c r="C2347"/>
    </row>
    <row r="2348" spans="2:3" x14ac:dyDescent="0.25">
      <c r="B2348"/>
      <c r="C2348"/>
    </row>
    <row r="2349" spans="2:3" x14ac:dyDescent="0.25">
      <c r="B2349"/>
      <c r="C2349"/>
    </row>
    <row r="2350" spans="2:3" x14ac:dyDescent="0.25">
      <c r="B2350"/>
      <c r="C2350"/>
    </row>
    <row r="2351" spans="2:3" x14ac:dyDescent="0.25">
      <c r="B2351"/>
      <c r="C2351"/>
    </row>
    <row r="2352" spans="2:3" x14ac:dyDescent="0.25">
      <c r="B2352"/>
      <c r="C2352"/>
    </row>
    <row r="2353" spans="2:3" x14ac:dyDescent="0.25">
      <c r="B2353"/>
      <c r="C2353"/>
    </row>
    <row r="2354" spans="2:3" x14ac:dyDescent="0.25">
      <c r="B2354"/>
      <c r="C2354"/>
    </row>
    <row r="2355" spans="2:3" x14ac:dyDescent="0.25">
      <c r="B2355"/>
      <c r="C2355"/>
    </row>
    <row r="2356" spans="2:3" x14ac:dyDescent="0.25">
      <c r="B2356"/>
      <c r="C2356"/>
    </row>
    <row r="2357" spans="2:3" x14ac:dyDescent="0.25">
      <c r="B2357"/>
      <c r="C2357"/>
    </row>
    <row r="2358" spans="2:3" x14ac:dyDescent="0.25">
      <c r="B2358"/>
      <c r="C2358"/>
    </row>
    <row r="2359" spans="2:3" x14ac:dyDescent="0.25">
      <c r="B2359"/>
      <c r="C2359"/>
    </row>
    <row r="2360" spans="2:3" x14ac:dyDescent="0.25">
      <c r="B2360"/>
      <c r="C2360"/>
    </row>
    <row r="2361" spans="2:3" x14ac:dyDescent="0.25">
      <c r="B2361"/>
      <c r="C2361"/>
    </row>
    <row r="2362" spans="2:3" x14ac:dyDescent="0.25">
      <c r="B2362"/>
      <c r="C2362"/>
    </row>
    <row r="2363" spans="2:3" x14ac:dyDescent="0.25">
      <c r="B2363"/>
      <c r="C2363"/>
    </row>
    <row r="2364" spans="2:3" x14ac:dyDescent="0.25">
      <c r="B2364"/>
      <c r="C2364"/>
    </row>
    <row r="2365" spans="2:3" x14ac:dyDescent="0.25">
      <c r="B2365"/>
      <c r="C2365"/>
    </row>
    <row r="2366" spans="2:3" x14ac:dyDescent="0.25">
      <c r="B2366"/>
      <c r="C2366"/>
    </row>
    <row r="2367" spans="2:3" x14ac:dyDescent="0.25">
      <c r="B2367"/>
      <c r="C2367"/>
    </row>
    <row r="2368" spans="2:3" x14ac:dyDescent="0.25">
      <c r="B2368"/>
      <c r="C2368"/>
    </row>
    <row r="2369" spans="2:3" x14ac:dyDescent="0.25">
      <c r="B2369"/>
      <c r="C2369"/>
    </row>
    <row r="2370" spans="2:3" x14ac:dyDescent="0.25">
      <c r="B2370"/>
      <c r="C2370"/>
    </row>
    <row r="2371" spans="2:3" x14ac:dyDescent="0.25">
      <c r="B2371"/>
      <c r="C2371"/>
    </row>
    <row r="2372" spans="2:3" x14ac:dyDescent="0.25">
      <c r="B2372"/>
      <c r="C2372"/>
    </row>
    <row r="2373" spans="2:3" x14ac:dyDescent="0.25">
      <c r="B2373"/>
      <c r="C2373"/>
    </row>
    <row r="2374" spans="2:3" x14ac:dyDescent="0.25">
      <c r="B2374"/>
      <c r="C2374"/>
    </row>
    <row r="2375" spans="2:3" x14ac:dyDescent="0.25">
      <c r="B2375"/>
      <c r="C2375"/>
    </row>
    <row r="2376" spans="2:3" x14ac:dyDescent="0.25">
      <c r="B2376"/>
      <c r="C2376"/>
    </row>
    <row r="2377" spans="2:3" x14ac:dyDescent="0.25">
      <c r="B2377"/>
      <c r="C2377"/>
    </row>
    <row r="2378" spans="2:3" x14ac:dyDescent="0.25">
      <c r="B2378"/>
      <c r="C2378"/>
    </row>
    <row r="2379" spans="2:3" x14ac:dyDescent="0.25">
      <c r="B2379"/>
      <c r="C2379"/>
    </row>
    <row r="2380" spans="2:3" x14ac:dyDescent="0.25">
      <c r="B2380"/>
      <c r="C2380"/>
    </row>
    <row r="2381" spans="2:3" x14ac:dyDescent="0.25">
      <c r="B2381"/>
      <c r="C2381"/>
    </row>
    <row r="2382" spans="2:3" x14ac:dyDescent="0.25">
      <c r="B2382"/>
      <c r="C2382"/>
    </row>
    <row r="2383" spans="2:3" x14ac:dyDescent="0.25">
      <c r="B2383"/>
      <c r="C2383"/>
    </row>
    <row r="2384" spans="2:3" x14ac:dyDescent="0.25">
      <c r="B2384"/>
      <c r="C2384"/>
    </row>
    <row r="2385" spans="2:3" x14ac:dyDescent="0.25">
      <c r="B2385"/>
      <c r="C2385"/>
    </row>
    <row r="2386" spans="2:3" x14ac:dyDescent="0.25">
      <c r="B2386"/>
      <c r="C2386"/>
    </row>
    <row r="2387" spans="2:3" x14ac:dyDescent="0.25">
      <c r="B2387"/>
      <c r="C2387"/>
    </row>
    <row r="2388" spans="2:3" x14ac:dyDescent="0.25">
      <c r="B2388"/>
      <c r="C2388"/>
    </row>
    <row r="2389" spans="2:3" x14ac:dyDescent="0.25">
      <c r="B2389"/>
      <c r="C2389"/>
    </row>
    <row r="2390" spans="2:3" x14ac:dyDescent="0.25">
      <c r="B2390"/>
      <c r="C2390"/>
    </row>
    <row r="2391" spans="2:3" x14ac:dyDescent="0.25">
      <c r="B2391"/>
      <c r="C2391"/>
    </row>
    <row r="2392" spans="2:3" x14ac:dyDescent="0.25">
      <c r="B2392"/>
      <c r="C2392"/>
    </row>
    <row r="2393" spans="2:3" x14ac:dyDescent="0.25">
      <c r="B2393"/>
      <c r="C2393"/>
    </row>
    <row r="2394" spans="2:3" x14ac:dyDescent="0.25">
      <c r="B2394"/>
      <c r="C2394"/>
    </row>
    <row r="2395" spans="2:3" x14ac:dyDescent="0.25">
      <c r="B2395"/>
      <c r="C2395"/>
    </row>
    <row r="2396" spans="2:3" x14ac:dyDescent="0.25">
      <c r="B2396"/>
      <c r="C2396"/>
    </row>
    <row r="2397" spans="2:3" x14ac:dyDescent="0.25">
      <c r="B2397"/>
      <c r="C2397"/>
    </row>
    <row r="2398" spans="2:3" x14ac:dyDescent="0.25">
      <c r="B2398"/>
      <c r="C2398"/>
    </row>
    <row r="2399" spans="2:3" x14ac:dyDescent="0.25">
      <c r="B2399"/>
      <c r="C2399"/>
    </row>
    <row r="2400" spans="2:3" x14ac:dyDescent="0.25">
      <c r="B2400"/>
      <c r="C2400"/>
    </row>
    <row r="2401" spans="2:3" x14ac:dyDescent="0.25">
      <c r="B2401"/>
      <c r="C2401"/>
    </row>
    <row r="2402" spans="2:3" x14ac:dyDescent="0.25">
      <c r="B2402"/>
      <c r="C2402"/>
    </row>
    <row r="2403" spans="2:3" x14ac:dyDescent="0.25">
      <c r="B2403"/>
      <c r="C2403"/>
    </row>
    <row r="2404" spans="2:3" x14ac:dyDescent="0.25">
      <c r="B2404"/>
      <c r="C2404"/>
    </row>
    <row r="2405" spans="2:3" x14ac:dyDescent="0.25">
      <c r="B2405"/>
      <c r="C2405"/>
    </row>
    <row r="2406" spans="2:3" x14ac:dyDescent="0.25">
      <c r="B2406"/>
      <c r="C2406"/>
    </row>
    <row r="2407" spans="2:3" x14ac:dyDescent="0.25">
      <c r="B2407"/>
      <c r="C2407"/>
    </row>
    <row r="2408" spans="2:3" x14ac:dyDescent="0.25">
      <c r="B2408"/>
      <c r="C2408"/>
    </row>
    <row r="2409" spans="2:3" x14ac:dyDescent="0.25">
      <c r="B2409"/>
      <c r="C2409"/>
    </row>
    <row r="2410" spans="2:3" x14ac:dyDescent="0.25">
      <c r="B2410"/>
      <c r="C2410"/>
    </row>
    <row r="2411" spans="2:3" x14ac:dyDescent="0.25">
      <c r="B2411"/>
      <c r="C2411"/>
    </row>
    <row r="2412" spans="2:3" x14ac:dyDescent="0.25">
      <c r="B2412"/>
      <c r="C2412"/>
    </row>
    <row r="2413" spans="2:3" x14ac:dyDescent="0.25">
      <c r="B2413"/>
      <c r="C2413"/>
    </row>
    <row r="2414" spans="2:3" x14ac:dyDescent="0.25">
      <c r="B2414"/>
      <c r="C2414"/>
    </row>
    <row r="2415" spans="2:3" x14ac:dyDescent="0.25">
      <c r="B2415"/>
      <c r="C2415"/>
    </row>
    <row r="2416" spans="2:3" x14ac:dyDescent="0.25">
      <c r="B2416"/>
      <c r="C2416"/>
    </row>
    <row r="2417" spans="2:3" x14ac:dyDescent="0.25">
      <c r="B2417"/>
      <c r="C2417"/>
    </row>
    <row r="2418" spans="2:3" x14ac:dyDescent="0.25">
      <c r="B2418"/>
      <c r="C2418"/>
    </row>
    <row r="2419" spans="2:3" x14ac:dyDescent="0.25">
      <c r="B2419"/>
      <c r="C2419"/>
    </row>
    <row r="2420" spans="2:3" x14ac:dyDescent="0.25">
      <c r="B2420"/>
      <c r="C2420"/>
    </row>
    <row r="2421" spans="2:3" x14ac:dyDescent="0.25">
      <c r="B2421"/>
      <c r="C2421"/>
    </row>
    <row r="2422" spans="2:3" x14ac:dyDescent="0.25">
      <c r="B2422"/>
      <c r="C2422"/>
    </row>
    <row r="2423" spans="2:3" x14ac:dyDescent="0.25">
      <c r="B2423"/>
      <c r="C2423"/>
    </row>
    <row r="2424" spans="2:3" x14ac:dyDescent="0.25">
      <c r="B2424"/>
      <c r="C2424"/>
    </row>
    <row r="2425" spans="2:3" x14ac:dyDescent="0.25">
      <c r="B2425"/>
      <c r="C2425"/>
    </row>
    <row r="2426" spans="2:3" x14ac:dyDescent="0.25">
      <c r="B2426"/>
      <c r="C2426"/>
    </row>
    <row r="2427" spans="2:3" x14ac:dyDescent="0.25">
      <c r="B2427"/>
      <c r="C2427"/>
    </row>
    <row r="2428" spans="2:3" x14ac:dyDescent="0.25">
      <c r="B2428"/>
      <c r="C2428"/>
    </row>
    <row r="2429" spans="2:3" x14ac:dyDescent="0.25">
      <c r="B2429"/>
      <c r="C2429"/>
    </row>
    <row r="2430" spans="2:3" x14ac:dyDescent="0.25">
      <c r="B2430"/>
      <c r="C2430"/>
    </row>
    <row r="2431" spans="2:3" x14ac:dyDescent="0.25">
      <c r="B2431"/>
      <c r="C2431"/>
    </row>
    <row r="2432" spans="2:3" x14ac:dyDescent="0.25">
      <c r="B2432"/>
      <c r="C2432"/>
    </row>
    <row r="2433" spans="2:3" x14ac:dyDescent="0.25">
      <c r="B2433"/>
      <c r="C2433"/>
    </row>
    <row r="2434" spans="2:3" x14ac:dyDescent="0.25">
      <c r="B2434"/>
      <c r="C2434"/>
    </row>
    <row r="2435" spans="2:3" x14ac:dyDescent="0.25">
      <c r="B2435"/>
      <c r="C2435"/>
    </row>
    <row r="2436" spans="2:3" x14ac:dyDescent="0.25">
      <c r="B2436"/>
      <c r="C2436"/>
    </row>
    <row r="2437" spans="2:3" x14ac:dyDescent="0.25">
      <c r="B2437"/>
      <c r="C2437"/>
    </row>
    <row r="2438" spans="2:3" x14ac:dyDescent="0.25">
      <c r="B2438"/>
      <c r="C2438"/>
    </row>
    <row r="2439" spans="2:3" x14ac:dyDescent="0.25">
      <c r="B2439"/>
      <c r="C2439"/>
    </row>
    <row r="2440" spans="2:3" x14ac:dyDescent="0.25">
      <c r="B2440"/>
      <c r="C2440"/>
    </row>
    <row r="2441" spans="2:3" x14ac:dyDescent="0.25">
      <c r="B2441"/>
      <c r="C2441"/>
    </row>
    <row r="2442" spans="2:3" x14ac:dyDescent="0.25">
      <c r="B2442"/>
      <c r="C2442"/>
    </row>
    <row r="2443" spans="2:3" x14ac:dyDescent="0.25">
      <c r="B2443"/>
      <c r="C2443"/>
    </row>
    <row r="2444" spans="2:3" x14ac:dyDescent="0.25">
      <c r="B2444"/>
      <c r="C2444"/>
    </row>
    <row r="2445" spans="2:3" x14ac:dyDescent="0.25">
      <c r="B2445"/>
      <c r="C2445"/>
    </row>
    <row r="2446" spans="2:3" x14ac:dyDescent="0.25">
      <c r="B2446"/>
      <c r="C2446"/>
    </row>
    <row r="2447" spans="2:3" x14ac:dyDescent="0.25">
      <c r="B2447"/>
      <c r="C2447"/>
    </row>
    <row r="2448" spans="2:3" x14ac:dyDescent="0.25">
      <c r="B2448"/>
      <c r="C2448"/>
    </row>
    <row r="2449" spans="2:3" x14ac:dyDescent="0.25">
      <c r="B2449"/>
      <c r="C2449"/>
    </row>
    <row r="2450" spans="2:3" x14ac:dyDescent="0.25">
      <c r="B2450"/>
      <c r="C2450"/>
    </row>
    <row r="2451" spans="2:3" x14ac:dyDescent="0.25">
      <c r="B2451"/>
      <c r="C2451"/>
    </row>
    <row r="2452" spans="2:3" x14ac:dyDescent="0.25">
      <c r="B2452"/>
      <c r="C2452"/>
    </row>
    <row r="2453" spans="2:3" x14ac:dyDescent="0.25">
      <c r="B2453"/>
      <c r="C2453"/>
    </row>
    <row r="2454" spans="2:3" x14ac:dyDescent="0.25">
      <c r="B2454"/>
      <c r="C2454"/>
    </row>
    <row r="2455" spans="2:3" x14ac:dyDescent="0.25">
      <c r="B2455"/>
      <c r="C2455"/>
    </row>
    <row r="2456" spans="2:3" x14ac:dyDescent="0.25">
      <c r="B2456"/>
      <c r="C2456"/>
    </row>
    <row r="2457" spans="2:3" x14ac:dyDescent="0.25">
      <c r="B2457"/>
      <c r="C2457"/>
    </row>
    <row r="2458" spans="2:3" x14ac:dyDescent="0.25">
      <c r="B2458"/>
      <c r="C2458"/>
    </row>
    <row r="2459" spans="2:3" x14ac:dyDescent="0.25">
      <c r="B2459"/>
      <c r="C2459"/>
    </row>
    <row r="2460" spans="2:3" x14ac:dyDescent="0.25">
      <c r="B2460"/>
      <c r="C2460"/>
    </row>
    <row r="2461" spans="2:3" x14ac:dyDescent="0.25">
      <c r="B2461"/>
      <c r="C2461"/>
    </row>
    <row r="2462" spans="2:3" x14ac:dyDescent="0.25">
      <c r="B2462"/>
      <c r="C2462"/>
    </row>
    <row r="2463" spans="2:3" x14ac:dyDescent="0.25">
      <c r="B2463"/>
      <c r="C2463"/>
    </row>
    <row r="2464" spans="2:3" x14ac:dyDescent="0.25">
      <c r="B2464"/>
      <c r="C2464"/>
    </row>
    <row r="2465" spans="2:3" x14ac:dyDescent="0.25">
      <c r="B2465"/>
      <c r="C2465"/>
    </row>
    <row r="2466" spans="2:3" x14ac:dyDescent="0.25">
      <c r="B2466"/>
      <c r="C2466"/>
    </row>
    <row r="2467" spans="2:3" x14ac:dyDescent="0.25">
      <c r="B2467"/>
      <c r="C2467"/>
    </row>
    <row r="2468" spans="2:3" x14ac:dyDescent="0.25">
      <c r="B2468"/>
      <c r="C2468"/>
    </row>
    <row r="2469" spans="2:3" x14ac:dyDescent="0.25">
      <c r="B2469"/>
      <c r="C2469"/>
    </row>
    <row r="2470" spans="2:3" x14ac:dyDescent="0.25">
      <c r="B2470"/>
      <c r="C2470"/>
    </row>
    <row r="2471" spans="2:3" x14ac:dyDescent="0.25">
      <c r="B2471"/>
      <c r="C2471"/>
    </row>
    <row r="2472" spans="2:3" x14ac:dyDescent="0.25">
      <c r="B2472"/>
      <c r="C2472"/>
    </row>
    <row r="2473" spans="2:3" x14ac:dyDescent="0.25">
      <c r="B2473"/>
      <c r="C2473"/>
    </row>
    <row r="2474" spans="2:3" x14ac:dyDescent="0.25">
      <c r="B2474"/>
      <c r="C2474"/>
    </row>
    <row r="2475" spans="2:3" x14ac:dyDescent="0.25">
      <c r="B2475"/>
      <c r="C2475"/>
    </row>
    <row r="2476" spans="2:3" x14ac:dyDescent="0.25">
      <c r="B2476"/>
      <c r="C2476"/>
    </row>
    <row r="2477" spans="2:3" x14ac:dyDescent="0.25">
      <c r="B2477"/>
      <c r="C2477"/>
    </row>
    <row r="2478" spans="2:3" x14ac:dyDescent="0.25">
      <c r="B2478"/>
      <c r="C2478"/>
    </row>
    <row r="2479" spans="2:3" x14ac:dyDescent="0.25">
      <c r="B2479"/>
      <c r="C2479"/>
    </row>
    <row r="2480" spans="2:3" x14ac:dyDescent="0.25">
      <c r="B2480"/>
      <c r="C2480"/>
    </row>
    <row r="2481" spans="2:3" x14ac:dyDescent="0.25">
      <c r="B2481"/>
      <c r="C2481"/>
    </row>
    <row r="2482" spans="2:3" x14ac:dyDescent="0.25">
      <c r="B2482"/>
      <c r="C2482"/>
    </row>
    <row r="2483" spans="2:3" x14ac:dyDescent="0.25">
      <c r="B2483"/>
      <c r="C2483"/>
    </row>
    <row r="2484" spans="2:3" x14ac:dyDescent="0.25">
      <c r="B2484"/>
      <c r="C2484"/>
    </row>
    <row r="2485" spans="2:3" x14ac:dyDescent="0.25">
      <c r="B2485"/>
      <c r="C2485"/>
    </row>
    <row r="2486" spans="2:3" x14ac:dyDescent="0.25">
      <c r="B2486"/>
      <c r="C2486"/>
    </row>
    <row r="2487" spans="2:3" x14ac:dyDescent="0.25">
      <c r="B2487"/>
      <c r="C2487"/>
    </row>
    <row r="2488" spans="2:3" x14ac:dyDescent="0.25">
      <c r="B2488"/>
      <c r="C2488"/>
    </row>
    <row r="2489" spans="2:3" x14ac:dyDescent="0.25">
      <c r="B2489"/>
      <c r="C2489"/>
    </row>
    <row r="2490" spans="2:3" x14ac:dyDescent="0.25">
      <c r="B2490"/>
      <c r="C2490"/>
    </row>
    <row r="2491" spans="2:3" x14ac:dyDescent="0.25">
      <c r="B2491"/>
      <c r="C2491"/>
    </row>
    <row r="2492" spans="2:3" x14ac:dyDescent="0.25">
      <c r="B2492"/>
      <c r="C2492"/>
    </row>
    <row r="2493" spans="2:3" x14ac:dyDescent="0.25">
      <c r="B2493"/>
      <c r="C2493"/>
    </row>
    <row r="2494" spans="2:3" x14ac:dyDescent="0.25">
      <c r="B2494"/>
      <c r="C2494"/>
    </row>
    <row r="2495" spans="2:3" x14ac:dyDescent="0.25">
      <c r="B2495"/>
      <c r="C2495"/>
    </row>
    <row r="2496" spans="2:3" x14ac:dyDescent="0.25">
      <c r="B2496"/>
      <c r="C2496"/>
    </row>
    <row r="2497" spans="2:3" x14ac:dyDescent="0.25">
      <c r="B2497"/>
      <c r="C2497"/>
    </row>
    <row r="2498" spans="2:3" x14ac:dyDescent="0.25">
      <c r="B2498"/>
      <c r="C2498"/>
    </row>
    <row r="2499" spans="2:3" x14ac:dyDescent="0.25">
      <c r="B2499"/>
      <c r="C2499"/>
    </row>
    <row r="2500" spans="2:3" x14ac:dyDescent="0.25">
      <c r="B2500"/>
      <c r="C2500"/>
    </row>
    <row r="2501" spans="2:3" x14ac:dyDescent="0.25">
      <c r="B2501"/>
      <c r="C2501"/>
    </row>
    <row r="2502" spans="2:3" x14ac:dyDescent="0.25">
      <c r="B2502"/>
      <c r="C2502"/>
    </row>
    <row r="2503" spans="2:3" x14ac:dyDescent="0.25">
      <c r="B2503"/>
      <c r="C2503"/>
    </row>
    <row r="2504" spans="2:3" x14ac:dyDescent="0.25">
      <c r="B2504"/>
      <c r="C2504"/>
    </row>
    <row r="2505" spans="2:3" x14ac:dyDescent="0.25">
      <c r="B2505"/>
      <c r="C2505"/>
    </row>
    <row r="2506" spans="2:3" x14ac:dyDescent="0.25">
      <c r="B2506"/>
      <c r="C2506"/>
    </row>
    <row r="2507" spans="2:3" x14ac:dyDescent="0.25">
      <c r="B2507"/>
      <c r="C2507"/>
    </row>
    <row r="2508" spans="2:3" x14ac:dyDescent="0.25">
      <c r="B2508"/>
      <c r="C2508"/>
    </row>
    <row r="2509" spans="2:3" x14ac:dyDescent="0.25">
      <c r="B2509"/>
      <c r="C2509"/>
    </row>
    <row r="2510" spans="2:3" x14ac:dyDescent="0.25">
      <c r="B2510"/>
      <c r="C2510"/>
    </row>
    <row r="2511" spans="2:3" x14ac:dyDescent="0.25">
      <c r="B2511"/>
      <c r="C2511"/>
    </row>
    <row r="2512" spans="2:3" x14ac:dyDescent="0.25">
      <c r="B2512"/>
      <c r="C2512"/>
    </row>
    <row r="2513" spans="2:3" x14ac:dyDescent="0.25">
      <c r="B2513"/>
      <c r="C2513"/>
    </row>
    <row r="2514" spans="2:3" x14ac:dyDescent="0.25">
      <c r="B2514"/>
      <c r="C2514"/>
    </row>
    <row r="2515" spans="2:3" x14ac:dyDescent="0.25">
      <c r="B2515"/>
      <c r="C2515"/>
    </row>
    <row r="2516" spans="2:3" x14ac:dyDescent="0.25">
      <c r="B2516"/>
      <c r="C2516"/>
    </row>
    <row r="2517" spans="2:3" x14ac:dyDescent="0.25">
      <c r="B2517"/>
      <c r="C2517"/>
    </row>
    <row r="2518" spans="2:3" x14ac:dyDescent="0.25">
      <c r="B2518"/>
      <c r="C2518"/>
    </row>
    <row r="2519" spans="2:3" x14ac:dyDescent="0.25">
      <c r="B2519"/>
      <c r="C2519"/>
    </row>
    <row r="2520" spans="2:3" x14ac:dyDescent="0.25">
      <c r="B2520"/>
      <c r="C2520"/>
    </row>
    <row r="2521" spans="2:3" x14ac:dyDescent="0.25">
      <c r="B2521"/>
      <c r="C2521"/>
    </row>
    <row r="2522" spans="2:3" x14ac:dyDescent="0.25">
      <c r="B2522"/>
      <c r="C2522"/>
    </row>
    <row r="2523" spans="2:3" x14ac:dyDescent="0.25">
      <c r="B2523"/>
      <c r="C2523"/>
    </row>
    <row r="2524" spans="2:3" x14ac:dyDescent="0.25">
      <c r="B2524"/>
      <c r="C2524"/>
    </row>
    <row r="2525" spans="2:3" x14ac:dyDescent="0.25">
      <c r="B2525"/>
      <c r="C2525"/>
    </row>
    <row r="2526" spans="2:3" x14ac:dyDescent="0.25">
      <c r="B2526"/>
      <c r="C2526"/>
    </row>
    <row r="2527" spans="2:3" x14ac:dyDescent="0.25">
      <c r="B2527"/>
      <c r="C2527"/>
    </row>
    <row r="2528" spans="2:3" x14ac:dyDescent="0.25">
      <c r="B2528"/>
      <c r="C2528"/>
    </row>
    <row r="2529" spans="2:3" x14ac:dyDescent="0.25">
      <c r="B2529"/>
      <c r="C2529"/>
    </row>
    <row r="2530" spans="2:3" x14ac:dyDescent="0.25">
      <c r="B2530"/>
      <c r="C2530"/>
    </row>
    <row r="2531" spans="2:3" x14ac:dyDescent="0.25">
      <c r="B2531"/>
      <c r="C2531"/>
    </row>
    <row r="2532" spans="2:3" x14ac:dyDescent="0.25">
      <c r="B2532"/>
      <c r="C2532"/>
    </row>
    <row r="2533" spans="2:3" x14ac:dyDescent="0.25">
      <c r="B2533"/>
      <c r="C2533"/>
    </row>
    <row r="2534" spans="2:3" x14ac:dyDescent="0.25">
      <c r="B2534"/>
      <c r="C2534"/>
    </row>
    <row r="2535" spans="2:3" x14ac:dyDescent="0.25">
      <c r="B2535"/>
      <c r="C2535"/>
    </row>
    <row r="2536" spans="2:3" x14ac:dyDescent="0.25">
      <c r="B2536"/>
      <c r="C2536"/>
    </row>
    <row r="2537" spans="2:3" x14ac:dyDescent="0.25">
      <c r="B2537"/>
      <c r="C2537"/>
    </row>
    <row r="2538" spans="2:3" x14ac:dyDescent="0.25">
      <c r="B2538"/>
      <c r="C2538"/>
    </row>
    <row r="2539" spans="2:3" x14ac:dyDescent="0.25">
      <c r="B2539"/>
      <c r="C2539"/>
    </row>
    <row r="2540" spans="2:3" x14ac:dyDescent="0.25">
      <c r="B2540"/>
      <c r="C2540"/>
    </row>
    <row r="2541" spans="2:3" x14ac:dyDescent="0.25">
      <c r="B2541"/>
      <c r="C2541"/>
    </row>
    <row r="2542" spans="2:3" x14ac:dyDescent="0.25">
      <c r="B2542"/>
      <c r="C2542"/>
    </row>
    <row r="2543" spans="2:3" x14ac:dyDescent="0.25">
      <c r="B2543"/>
      <c r="C2543"/>
    </row>
    <row r="2544" spans="2:3" x14ac:dyDescent="0.25">
      <c r="B2544"/>
      <c r="C2544"/>
    </row>
    <row r="2545" spans="2:3" x14ac:dyDescent="0.25">
      <c r="B2545"/>
      <c r="C2545"/>
    </row>
    <row r="2546" spans="2:3" x14ac:dyDescent="0.25">
      <c r="B2546"/>
      <c r="C2546"/>
    </row>
    <row r="2547" spans="2:3" x14ac:dyDescent="0.25">
      <c r="B2547"/>
      <c r="C2547"/>
    </row>
    <row r="2548" spans="2:3" x14ac:dyDescent="0.25">
      <c r="B2548"/>
      <c r="C2548"/>
    </row>
    <row r="2549" spans="2:3" x14ac:dyDescent="0.25">
      <c r="B2549"/>
      <c r="C2549"/>
    </row>
    <row r="2550" spans="2:3" x14ac:dyDescent="0.25">
      <c r="B2550"/>
      <c r="C2550"/>
    </row>
    <row r="2551" spans="2:3" x14ac:dyDescent="0.25">
      <c r="B2551"/>
      <c r="C2551"/>
    </row>
    <row r="2552" spans="2:3" x14ac:dyDescent="0.25">
      <c r="B2552"/>
      <c r="C2552"/>
    </row>
    <row r="2553" spans="2:3" x14ac:dyDescent="0.25">
      <c r="B2553"/>
      <c r="C2553"/>
    </row>
    <row r="2554" spans="2:3" x14ac:dyDescent="0.25">
      <c r="B2554"/>
      <c r="C2554"/>
    </row>
    <row r="2555" spans="2:3" x14ac:dyDescent="0.25">
      <c r="B2555"/>
      <c r="C2555"/>
    </row>
    <row r="2556" spans="2:3" x14ac:dyDescent="0.25">
      <c r="B2556"/>
      <c r="C2556"/>
    </row>
    <row r="2557" spans="2:3" x14ac:dyDescent="0.25">
      <c r="B2557"/>
      <c r="C2557"/>
    </row>
    <row r="2558" spans="2:3" x14ac:dyDescent="0.25">
      <c r="B2558"/>
      <c r="C2558"/>
    </row>
    <row r="2559" spans="2:3" x14ac:dyDescent="0.25">
      <c r="B2559"/>
      <c r="C2559"/>
    </row>
    <row r="2560" spans="2:3" x14ac:dyDescent="0.25">
      <c r="B2560"/>
      <c r="C2560"/>
    </row>
    <row r="2561" spans="2:3" x14ac:dyDescent="0.25">
      <c r="B2561"/>
      <c r="C2561"/>
    </row>
    <row r="2562" spans="2:3" x14ac:dyDescent="0.25">
      <c r="B2562"/>
      <c r="C2562"/>
    </row>
    <row r="2563" spans="2:3" x14ac:dyDescent="0.25">
      <c r="B2563"/>
      <c r="C2563"/>
    </row>
    <row r="2564" spans="2:3" x14ac:dyDescent="0.25">
      <c r="B2564"/>
      <c r="C2564"/>
    </row>
    <row r="2565" spans="2:3" x14ac:dyDescent="0.25">
      <c r="B2565"/>
      <c r="C2565"/>
    </row>
    <row r="2566" spans="2:3" x14ac:dyDescent="0.25">
      <c r="B2566"/>
      <c r="C2566"/>
    </row>
    <row r="2567" spans="2:3" x14ac:dyDescent="0.25">
      <c r="B2567"/>
      <c r="C2567"/>
    </row>
    <row r="2568" spans="2:3" x14ac:dyDescent="0.25">
      <c r="B2568"/>
      <c r="C2568"/>
    </row>
    <row r="2569" spans="2:3" x14ac:dyDescent="0.25">
      <c r="B2569"/>
      <c r="C2569"/>
    </row>
    <row r="2570" spans="2:3" x14ac:dyDescent="0.25">
      <c r="B2570"/>
      <c r="C2570"/>
    </row>
    <row r="2571" spans="2:3" x14ac:dyDescent="0.25">
      <c r="B2571"/>
      <c r="C2571"/>
    </row>
    <row r="2572" spans="2:3" x14ac:dyDescent="0.25">
      <c r="B2572"/>
      <c r="C2572"/>
    </row>
    <row r="2573" spans="2:3" x14ac:dyDescent="0.25">
      <c r="B2573"/>
      <c r="C2573"/>
    </row>
    <row r="2574" spans="2:3" x14ac:dyDescent="0.25">
      <c r="B2574"/>
      <c r="C2574"/>
    </row>
    <row r="2575" spans="2:3" x14ac:dyDescent="0.25">
      <c r="B2575"/>
      <c r="C2575"/>
    </row>
    <row r="2576" spans="2:3" x14ac:dyDescent="0.25">
      <c r="B2576"/>
      <c r="C2576"/>
    </row>
    <row r="2577" spans="2:3" x14ac:dyDescent="0.25">
      <c r="B2577"/>
      <c r="C2577"/>
    </row>
    <row r="2578" spans="2:3" x14ac:dyDescent="0.25">
      <c r="B2578"/>
      <c r="C2578"/>
    </row>
    <row r="2579" spans="2:3" x14ac:dyDescent="0.25">
      <c r="B2579"/>
      <c r="C2579"/>
    </row>
    <row r="2580" spans="2:3" x14ac:dyDescent="0.25">
      <c r="B2580"/>
      <c r="C2580"/>
    </row>
    <row r="2581" spans="2:3" x14ac:dyDescent="0.25">
      <c r="B2581"/>
      <c r="C2581"/>
    </row>
    <row r="2582" spans="2:3" x14ac:dyDescent="0.25">
      <c r="B2582"/>
      <c r="C2582"/>
    </row>
    <row r="2583" spans="2:3" x14ac:dyDescent="0.25">
      <c r="B2583"/>
      <c r="C2583"/>
    </row>
    <row r="2584" spans="2:3" x14ac:dyDescent="0.25">
      <c r="B2584"/>
      <c r="C2584"/>
    </row>
    <row r="2585" spans="2:3" x14ac:dyDescent="0.25">
      <c r="B2585"/>
      <c r="C2585"/>
    </row>
    <row r="2586" spans="2:3" x14ac:dyDescent="0.25">
      <c r="B2586"/>
      <c r="C2586"/>
    </row>
    <row r="2587" spans="2:3" x14ac:dyDescent="0.25">
      <c r="B2587"/>
      <c r="C2587"/>
    </row>
    <row r="2588" spans="2:3" x14ac:dyDescent="0.25">
      <c r="B2588"/>
      <c r="C2588"/>
    </row>
    <row r="2589" spans="2:3" x14ac:dyDescent="0.25">
      <c r="B2589"/>
      <c r="C2589"/>
    </row>
    <row r="2590" spans="2:3" x14ac:dyDescent="0.25">
      <c r="B2590"/>
      <c r="C2590"/>
    </row>
    <row r="2591" spans="2:3" x14ac:dyDescent="0.25">
      <c r="B2591"/>
      <c r="C2591"/>
    </row>
    <row r="2592" spans="2:3" x14ac:dyDescent="0.25">
      <c r="B2592"/>
      <c r="C2592"/>
    </row>
    <row r="2593" spans="2:3" x14ac:dyDescent="0.25">
      <c r="B2593"/>
      <c r="C2593"/>
    </row>
    <row r="2594" spans="2:3" x14ac:dyDescent="0.25">
      <c r="B2594"/>
      <c r="C2594"/>
    </row>
    <row r="2595" spans="2:3" x14ac:dyDescent="0.25">
      <c r="B2595"/>
      <c r="C2595"/>
    </row>
    <row r="2596" spans="2:3" x14ac:dyDescent="0.25">
      <c r="B2596"/>
      <c r="C2596"/>
    </row>
    <row r="2597" spans="2:3" x14ac:dyDescent="0.25">
      <c r="B2597"/>
      <c r="C2597"/>
    </row>
    <row r="2598" spans="2:3" x14ac:dyDescent="0.25">
      <c r="B2598"/>
      <c r="C2598"/>
    </row>
    <row r="2599" spans="2:3" x14ac:dyDescent="0.25">
      <c r="B2599"/>
      <c r="C2599"/>
    </row>
    <row r="2600" spans="2:3" x14ac:dyDescent="0.25">
      <c r="B2600"/>
      <c r="C2600"/>
    </row>
    <row r="2601" spans="2:3" x14ac:dyDescent="0.25">
      <c r="B2601"/>
      <c r="C2601"/>
    </row>
    <row r="2602" spans="2:3" x14ac:dyDescent="0.25">
      <c r="B2602"/>
      <c r="C2602"/>
    </row>
    <row r="2603" spans="2:3" x14ac:dyDescent="0.25">
      <c r="B2603"/>
      <c r="C2603"/>
    </row>
    <row r="2604" spans="2:3" x14ac:dyDescent="0.25">
      <c r="B2604"/>
      <c r="C2604"/>
    </row>
    <row r="2605" spans="2:3" x14ac:dyDescent="0.25">
      <c r="B2605"/>
      <c r="C2605"/>
    </row>
    <row r="2606" spans="2:3" x14ac:dyDescent="0.25">
      <c r="B2606"/>
      <c r="C2606"/>
    </row>
    <row r="2607" spans="2:3" x14ac:dyDescent="0.25">
      <c r="B2607"/>
      <c r="C2607"/>
    </row>
    <row r="2608" spans="2:3" x14ac:dyDescent="0.25">
      <c r="B2608"/>
      <c r="C2608"/>
    </row>
    <row r="2609" spans="2:3" x14ac:dyDescent="0.25">
      <c r="B2609"/>
      <c r="C2609"/>
    </row>
    <row r="2610" spans="2:3" x14ac:dyDescent="0.25">
      <c r="B2610"/>
      <c r="C2610"/>
    </row>
    <row r="2611" spans="2:3" x14ac:dyDescent="0.25">
      <c r="B2611"/>
      <c r="C2611"/>
    </row>
    <row r="2612" spans="2:3" x14ac:dyDescent="0.25">
      <c r="B2612"/>
      <c r="C2612"/>
    </row>
    <row r="2613" spans="2:3" x14ac:dyDescent="0.25">
      <c r="B2613"/>
      <c r="C2613"/>
    </row>
    <row r="2614" spans="2:3" x14ac:dyDescent="0.25">
      <c r="B2614"/>
      <c r="C2614"/>
    </row>
    <row r="2615" spans="2:3" x14ac:dyDescent="0.25">
      <c r="B2615"/>
      <c r="C2615"/>
    </row>
    <row r="2616" spans="2:3" x14ac:dyDescent="0.25">
      <c r="B2616"/>
      <c r="C2616"/>
    </row>
    <row r="2617" spans="2:3" x14ac:dyDescent="0.25">
      <c r="B2617"/>
      <c r="C2617"/>
    </row>
    <row r="2618" spans="2:3" x14ac:dyDescent="0.25">
      <c r="B2618"/>
      <c r="C2618"/>
    </row>
    <row r="2619" spans="2:3" x14ac:dyDescent="0.25">
      <c r="B2619"/>
      <c r="C2619"/>
    </row>
    <row r="2620" spans="2:3" x14ac:dyDescent="0.25">
      <c r="B2620"/>
      <c r="C2620"/>
    </row>
    <row r="2621" spans="2:3" x14ac:dyDescent="0.25">
      <c r="B2621"/>
      <c r="C2621"/>
    </row>
    <row r="2622" spans="2:3" x14ac:dyDescent="0.25">
      <c r="B2622"/>
      <c r="C2622"/>
    </row>
    <row r="2623" spans="2:3" x14ac:dyDescent="0.25">
      <c r="B2623"/>
      <c r="C2623"/>
    </row>
    <row r="2624" spans="2:3" x14ac:dyDescent="0.25">
      <c r="B2624"/>
      <c r="C2624"/>
    </row>
    <row r="2625" spans="2:3" x14ac:dyDescent="0.25">
      <c r="B2625"/>
      <c r="C2625"/>
    </row>
    <row r="2626" spans="2:3" x14ac:dyDescent="0.25">
      <c r="B2626"/>
      <c r="C2626"/>
    </row>
    <row r="2627" spans="2:3" x14ac:dyDescent="0.25">
      <c r="B2627"/>
      <c r="C2627"/>
    </row>
    <row r="2628" spans="2:3" x14ac:dyDescent="0.25">
      <c r="B2628"/>
      <c r="C2628"/>
    </row>
    <row r="2629" spans="2:3" x14ac:dyDescent="0.25">
      <c r="B2629"/>
      <c r="C2629"/>
    </row>
    <row r="2630" spans="2:3" x14ac:dyDescent="0.25">
      <c r="B2630"/>
      <c r="C2630"/>
    </row>
    <row r="2631" spans="2:3" x14ac:dyDescent="0.25">
      <c r="B2631"/>
      <c r="C2631"/>
    </row>
    <row r="2632" spans="2:3" x14ac:dyDescent="0.25">
      <c r="B2632"/>
      <c r="C2632"/>
    </row>
    <row r="2633" spans="2:3" x14ac:dyDescent="0.25">
      <c r="B2633"/>
      <c r="C2633"/>
    </row>
    <row r="2634" spans="2:3" x14ac:dyDescent="0.25">
      <c r="B2634"/>
      <c r="C2634"/>
    </row>
    <row r="2635" spans="2:3" x14ac:dyDescent="0.25">
      <c r="B2635"/>
      <c r="C2635"/>
    </row>
    <row r="2636" spans="2:3" x14ac:dyDescent="0.25">
      <c r="B2636"/>
      <c r="C2636"/>
    </row>
    <row r="2637" spans="2:3" x14ac:dyDescent="0.25">
      <c r="B2637"/>
      <c r="C2637"/>
    </row>
    <row r="2638" spans="2:3" x14ac:dyDescent="0.25">
      <c r="B2638"/>
      <c r="C2638"/>
    </row>
    <row r="2639" spans="2:3" x14ac:dyDescent="0.25">
      <c r="B2639"/>
      <c r="C2639"/>
    </row>
    <row r="2640" spans="2:3" x14ac:dyDescent="0.25">
      <c r="B2640"/>
      <c r="C2640"/>
    </row>
    <row r="2641" spans="2:3" x14ac:dyDescent="0.25">
      <c r="B2641"/>
      <c r="C2641"/>
    </row>
    <row r="2642" spans="2:3" x14ac:dyDescent="0.25">
      <c r="B2642"/>
      <c r="C2642"/>
    </row>
    <row r="2643" spans="2:3" x14ac:dyDescent="0.25">
      <c r="B2643"/>
      <c r="C2643"/>
    </row>
    <row r="2644" spans="2:3" x14ac:dyDescent="0.25">
      <c r="B2644"/>
      <c r="C2644"/>
    </row>
    <row r="2645" spans="2:3" x14ac:dyDescent="0.25">
      <c r="B2645"/>
      <c r="C2645"/>
    </row>
    <row r="2646" spans="2:3" x14ac:dyDescent="0.25">
      <c r="B2646"/>
      <c r="C2646"/>
    </row>
    <row r="2647" spans="2:3" x14ac:dyDescent="0.25">
      <c r="B2647"/>
      <c r="C2647"/>
    </row>
    <row r="2648" spans="2:3" x14ac:dyDescent="0.25">
      <c r="B2648"/>
      <c r="C2648"/>
    </row>
    <row r="2649" spans="2:3" x14ac:dyDescent="0.25">
      <c r="B2649"/>
      <c r="C2649"/>
    </row>
    <row r="2650" spans="2:3" x14ac:dyDescent="0.25">
      <c r="B2650"/>
      <c r="C2650"/>
    </row>
    <row r="2651" spans="2:3" x14ac:dyDescent="0.25">
      <c r="B2651"/>
      <c r="C2651"/>
    </row>
    <row r="2652" spans="2:3" x14ac:dyDescent="0.25">
      <c r="B2652"/>
      <c r="C2652"/>
    </row>
    <row r="2653" spans="2:3" x14ac:dyDescent="0.25">
      <c r="B2653"/>
      <c r="C2653"/>
    </row>
    <row r="2654" spans="2:3" x14ac:dyDescent="0.25">
      <c r="B2654"/>
      <c r="C2654"/>
    </row>
    <row r="2655" spans="2:3" x14ac:dyDescent="0.25">
      <c r="B2655"/>
      <c r="C2655"/>
    </row>
    <row r="2656" spans="2:3" x14ac:dyDescent="0.25">
      <c r="B2656"/>
      <c r="C2656"/>
    </row>
    <row r="2657" spans="2:3" x14ac:dyDescent="0.25">
      <c r="B2657"/>
      <c r="C2657"/>
    </row>
    <row r="2658" spans="2:3" x14ac:dyDescent="0.25">
      <c r="B2658"/>
      <c r="C2658"/>
    </row>
    <row r="2659" spans="2:3" x14ac:dyDescent="0.25">
      <c r="B2659"/>
      <c r="C2659"/>
    </row>
    <row r="2660" spans="2:3" x14ac:dyDescent="0.25">
      <c r="B2660"/>
      <c r="C2660"/>
    </row>
    <row r="2661" spans="2:3" x14ac:dyDescent="0.25">
      <c r="B2661"/>
      <c r="C2661"/>
    </row>
    <row r="2662" spans="2:3" x14ac:dyDescent="0.25">
      <c r="B2662"/>
      <c r="C2662"/>
    </row>
    <row r="2663" spans="2:3" x14ac:dyDescent="0.25">
      <c r="B2663"/>
      <c r="C2663"/>
    </row>
    <row r="2664" spans="2:3" x14ac:dyDescent="0.25">
      <c r="B2664"/>
      <c r="C2664"/>
    </row>
    <row r="2665" spans="2:3" x14ac:dyDescent="0.25">
      <c r="B2665"/>
      <c r="C2665"/>
    </row>
    <row r="2666" spans="2:3" x14ac:dyDescent="0.25">
      <c r="B2666"/>
      <c r="C2666"/>
    </row>
    <row r="2667" spans="2:3" x14ac:dyDescent="0.25">
      <c r="B2667"/>
      <c r="C2667"/>
    </row>
    <row r="2668" spans="2:3" x14ac:dyDescent="0.25">
      <c r="B2668"/>
      <c r="C2668"/>
    </row>
    <row r="2669" spans="2:3" x14ac:dyDescent="0.25">
      <c r="B2669"/>
      <c r="C2669"/>
    </row>
    <row r="2670" spans="2:3" x14ac:dyDescent="0.25">
      <c r="B2670"/>
      <c r="C2670"/>
    </row>
    <row r="2671" spans="2:3" x14ac:dyDescent="0.25">
      <c r="B2671"/>
      <c r="C2671"/>
    </row>
    <row r="2672" spans="2:3" x14ac:dyDescent="0.25">
      <c r="B2672"/>
      <c r="C2672"/>
    </row>
    <row r="2673" spans="2:3" x14ac:dyDescent="0.25">
      <c r="B2673"/>
      <c r="C2673"/>
    </row>
    <row r="2674" spans="2:3" x14ac:dyDescent="0.25">
      <c r="B2674"/>
      <c r="C2674"/>
    </row>
    <row r="2675" spans="2:3" x14ac:dyDescent="0.25">
      <c r="B2675"/>
      <c r="C2675"/>
    </row>
    <row r="2676" spans="2:3" x14ac:dyDescent="0.25">
      <c r="B2676"/>
      <c r="C2676"/>
    </row>
    <row r="2677" spans="2:3" x14ac:dyDescent="0.25">
      <c r="B2677"/>
      <c r="C2677"/>
    </row>
    <row r="2678" spans="2:3" x14ac:dyDescent="0.25">
      <c r="B2678"/>
      <c r="C2678"/>
    </row>
    <row r="2679" spans="2:3" x14ac:dyDescent="0.25">
      <c r="B2679"/>
      <c r="C2679"/>
    </row>
    <row r="2680" spans="2:3" x14ac:dyDescent="0.25">
      <c r="B2680"/>
      <c r="C2680"/>
    </row>
    <row r="2681" spans="2:3" x14ac:dyDescent="0.25">
      <c r="B2681"/>
      <c r="C2681"/>
    </row>
    <row r="2682" spans="2:3" x14ac:dyDescent="0.25">
      <c r="B2682"/>
      <c r="C2682"/>
    </row>
    <row r="2683" spans="2:3" x14ac:dyDescent="0.25">
      <c r="B2683"/>
      <c r="C2683"/>
    </row>
    <row r="2684" spans="2:3" x14ac:dyDescent="0.25">
      <c r="B2684"/>
      <c r="C2684"/>
    </row>
    <row r="2685" spans="2:3" x14ac:dyDescent="0.25">
      <c r="B2685"/>
      <c r="C2685"/>
    </row>
    <row r="2686" spans="2:3" x14ac:dyDescent="0.25">
      <c r="B2686"/>
      <c r="C2686"/>
    </row>
    <row r="2687" spans="2:3" x14ac:dyDescent="0.25">
      <c r="B2687"/>
      <c r="C2687"/>
    </row>
    <row r="2688" spans="2:3" x14ac:dyDescent="0.25">
      <c r="B2688"/>
      <c r="C2688"/>
    </row>
    <row r="2689" spans="2:3" x14ac:dyDescent="0.25">
      <c r="B2689"/>
      <c r="C2689"/>
    </row>
    <row r="2690" spans="2:3" x14ac:dyDescent="0.25">
      <c r="B2690"/>
      <c r="C2690"/>
    </row>
    <row r="2691" spans="2:3" x14ac:dyDescent="0.25">
      <c r="B2691"/>
      <c r="C2691"/>
    </row>
    <row r="2692" spans="2:3" x14ac:dyDescent="0.25">
      <c r="B2692"/>
      <c r="C2692"/>
    </row>
    <row r="2693" spans="2:3" x14ac:dyDescent="0.25">
      <c r="B2693"/>
      <c r="C2693"/>
    </row>
    <row r="2694" spans="2:3" x14ac:dyDescent="0.25">
      <c r="B2694"/>
      <c r="C2694"/>
    </row>
    <row r="2695" spans="2:3" x14ac:dyDescent="0.25">
      <c r="B2695"/>
      <c r="C2695"/>
    </row>
    <row r="2696" spans="2:3" x14ac:dyDescent="0.25">
      <c r="B2696"/>
      <c r="C2696"/>
    </row>
    <row r="2697" spans="2:3" x14ac:dyDescent="0.25">
      <c r="B2697"/>
      <c r="C2697"/>
    </row>
    <row r="2698" spans="2:3" x14ac:dyDescent="0.25">
      <c r="B2698"/>
      <c r="C2698"/>
    </row>
    <row r="2699" spans="2:3" x14ac:dyDescent="0.25">
      <c r="B2699"/>
      <c r="C2699"/>
    </row>
    <row r="2700" spans="2:3" x14ac:dyDescent="0.25">
      <c r="B2700"/>
      <c r="C2700"/>
    </row>
    <row r="2701" spans="2:3" x14ac:dyDescent="0.25">
      <c r="B2701"/>
      <c r="C2701"/>
    </row>
    <row r="2702" spans="2:3" x14ac:dyDescent="0.25">
      <c r="B2702"/>
      <c r="C2702"/>
    </row>
    <row r="2703" spans="2:3" x14ac:dyDescent="0.25">
      <c r="B2703"/>
      <c r="C2703"/>
    </row>
    <row r="2704" spans="2:3" x14ac:dyDescent="0.25">
      <c r="B2704"/>
      <c r="C2704"/>
    </row>
    <row r="2705" spans="2:3" x14ac:dyDescent="0.25">
      <c r="B2705"/>
      <c r="C2705"/>
    </row>
    <row r="2706" spans="2:3" x14ac:dyDescent="0.25">
      <c r="B2706"/>
      <c r="C2706"/>
    </row>
    <row r="2707" spans="2:3" x14ac:dyDescent="0.25">
      <c r="B2707"/>
      <c r="C2707"/>
    </row>
    <row r="2708" spans="2:3" x14ac:dyDescent="0.25">
      <c r="B2708"/>
      <c r="C2708"/>
    </row>
    <row r="2709" spans="2:3" x14ac:dyDescent="0.25">
      <c r="B2709"/>
      <c r="C2709"/>
    </row>
    <row r="2710" spans="2:3" x14ac:dyDescent="0.25">
      <c r="B2710"/>
      <c r="C2710"/>
    </row>
    <row r="2711" spans="2:3" x14ac:dyDescent="0.25">
      <c r="B2711"/>
      <c r="C2711"/>
    </row>
    <row r="2712" spans="2:3" x14ac:dyDescent="0.25">
      <c r="B2712"/>
      <c r="C2712"/>
    </row>
    <row r="2713" spans="2:3" x14ac:dyDescent="0.25">
      <c r="B2713"/>
      <c r="C2713"/>
    </row>
    <row r="2714" spans="2:3" x14ac:dyDescent="0.25">
      <c r="B2714"/>
      <c r="C2714"/>
    </row>
    <row r="2715" spans="2:3" x14ac:dyDescent="0.25">
      <c r="B2715"/>
      <c r="C2715"/>
    </row>
    <row r="2716" spans="2:3" x14ac:dyDescent="0.25">
      <c r="B2716"/>
      <c r="C2716"/>
    </row>
    <row r="2717" spans="2:3" x14ac:dyDescent="0.25">
      <c r="B2717"/>
      <c r="C2717"/>
    </row>
    <row r="2718" spans="2:3" x14ac:dyDescent="0.25">
      <c r="B2718"/>
      <c r="C2718"/>
    </row>
    <row r="2719" spans="2:3" x14ac:dyDescent="0.25">
      <c r="B2719"/>
      <c r="C2719"/>
    </row>
    <row r="2720" spans="2:3" x14ac:dyDescent="0.25">
      <c r="B2720"/>
      <c r="C2720"/>
    </row>
    <row r="2721" spans="2:3" x14ac:dyDescent="0.25">
      <c r="B2721"/>
      <c r="C2721"/>
    </row>
    <row r="2722" spans="2:3" x14ac:dyDescent="0.25">
      <c r="B2722"/>
      <c r="C2722"/>
    </row>
    <row r="2723" spans="2:3" x14ac:dyDescent="0.25">
      <c r="B2723"/>
      <c r="C2723"/>
    </row>
    <row r="2724" spans="2:3" x14ac:dyDescent="0.25">
      <c r="B2724"/>
      <c r="C2724"/>
    </row>
    <row r="2725" spans="2:3" x14ac:dyDescent="0.25">
      <c r="B2725"/>
      <c r="C2725"/>
    </row>
    <row r="2726" spans="2:3" x14ac:dyDescent="0.25">
      <c r="B2726"/>
      <c r="C2726"/>
    </row>
    <row r="2727" spans="2:3" x14ac:dyDescent="0.25">
      <c r="B2727"/>
      <c r="C2727"/>
    </row>
    <row r="2728" spans="2:3" x14ac:dyDescent="0.25">
      <c r="B2728"/>
      <c r="C2728"/>
    </row>
    <row r="2729" spans="2:3" x14ac:dyDescent="0.25">
      <c r="B2729"/>
      <c r="C2729"/>
    </row>
    <row r="2730" spans="2:3" x14ac:dyDescent="0.25">
      <c r="B2730"/>
      <c r="C2730"/>
    </row>
    <row r="2731" spans="2:3" x14ac:dyDescent="0.25">
      <c r="B2731"/>
      <c r="C2731"/>
    </row>
    <row r="2732" spans="2:3" x14ac:dyDescent="0.25">
      <c r="B2732"/>
      <c r="C2732"/>
    </row>
    <row r="2733" spans="2:3" x14ac:dyDescent="0.25">
      <c r="B2733"/>
      <c r="C2733"/>
    </row>
    <row r="2734" spans="2:3" x14ac:dyDescent="0.25">
      <c r="B2734"/>
      <c r="C2734"/>
    </row>
    <row r="2735" spans="2:3" x14ac:dyDescent="0.25">
      <c r="B2735"/>
      <c r="C2735"/>
    </row>
    <row r="2736" spans="2:3" x14ac:dyDescent="0.25">
      <c r="B2736"/>
      <c r="C2736"/>
    </row>
    <row r="2737" spans="2:3" x14ac:dyDescent="0.25">
      <c r="B2737"/>
      <c r="C2737"/>
    </row>
    <row r="2738" spans="2:3" x14ac:dyDescent="0.25">
      <c r="B2738"/>
      <c r="C2738"/>
    </row>
    <row r="2739" spans="2:3" x14ac:dyDescent="0.25">
      <c r="B2739"/>
      <c r="C2739"/>
    </row>
    <row r="2740" spans="2:3" x14ac:dyDescent="0.25">
      <c r="B2740"/>
      <c r="C2740"/>
    </row>
    <row r="2741" spans="2:3" x14ac:dyDescent="0.25">
      <c r="B2741"/>
      <c r="C2741"/>
    </row>
    <row r="2742" spans="2:3" x14ac:dyDescent="0.25">
      <c r="B2742"/>
      <c r="C2742"/>
    </row>
    <row r="2743" spans="2:3" x14ac:dyDescent="0.25">
      <c r="B2743"/>
      <c r="C2743"/>
    </row>
    <row r="2744" spans="2:3" x14ac:dyDescent="0.25">
      <c r="B2744"/>
      <c r="C2744"/>
    </row>
    <row r="2745" spans="2:3" x14ac:dyDescent="0.25">
      <c r="B2745"/>
      <c r="C2745"/>
    </row>
    <row r="2746" spans="2:3" x14ac:dyDescent="0.25">
      <c r="B2746"/>
      <c r="C2746"/>
    </row>
    <row r="2747" spans="2:3" x14ac:dyDescent="0.25">
      <c r="B2747"/>
      <c r="C2747"/>
    </row>
    <row r="2748" spans="2:3" x14ac:dyDescent="0.25">
      <c r="B2748"/>
      <c r="C2748"/>
    </row>
    <row r="2749" spans="2:3" x14ac:dyDescent="0.25">
      <c r="B2749"/>
      <c r="C2749"/>
    </row>
    <row r="2750" spans="2:3" x14ac:dyDescent="0.25">
      <c r="B2750"/>
      <c r="C2750"/>
    </row>
    <row r="2751" spans="2:3" x14ac:dyDescent="0.25">
      <c r="B2751"/>
      <c r="C2751"/>
    </row>
    <row r="2752" spans="2:3" x14ac:dyDescent="0.25">
      <c r="B2752"/>
      <c r="C2752"/>
    </row>
    <row r="2753" spans="2:3" x14ac:dyDescent="0.25">
      <c r="B2753"/>
      <c r="C2753"/>
    </row>
    <row r="2754" spans="2:3" x14ac:dyDescent="0.25">
      <c r="B2754"/>
      <c r="C2754"/>
    </row>
    <row r="2755" spans="2:3" x14ac:dyDescent="0.25">
      <c r="B2755"/>
      <c r="C2755"/>
    </row>
    <row r="2756" spans="2:3" x14ac:dyDescent="0.25">
      <c r="B2756"/>
      <c r="C2756"/>
    </row>
    <row r="2757" spans="2:3" x14ac:dyDescent="0.25">
      <c r="B2757"/>
      <c r="C2757"/>
    </row>
    <row r="2758" spans="2:3" x14ac:dyDescent="0.25">
      <c r="B2758"/>
      <c r="C2758"/>
    </row>
    <row r="2759" spans="2:3" x14ac:dyDescent="0.25">
      <c r="B2759"/>
      <c r="C2759"/>
    </row>
    <row r="2760" spans="2:3" x14ac:dyDescent="0.25">
      <c r="B2760"/>
      <c r="C2760"/>
    </row>
    <row r="2761" spans="2:3" x14ac:dyDescent="0.25">
      <c r="B2761"/>
      <c r="C2761"/>
    </row>
    <row r="2762" spans="2:3" x14ac:dyDescent="0.25">
      <c r="B2762"/>
      <c r="C2762"/>
    </row>
    <row r="2763" spans="2:3" x14ac:dyDescent="0.25">
      <c r="B2763"/>
      <c r="C2763"/>
    </row>
    <row r="2764" spans="2:3" x14ac:dyDescent="0.25">
      <c r="B2764"/>
      <c r="C2764"/>
    </row>
    <row r="2765" spans="2:3" x14ac:dyDescent="0.25">
      <c r="B2765"/>
      <c r="C2765"/>
    </row>
    <row r="2766" spans="2:3" x14ac:dyDescent="0.25">
      <c r="B2766"/>
      <c r="C2766"/>
    </row>
    <row r="2767" spans="2:3" x14ac:dyDescent="0.25">
      <c r="B2767"/>
      <c r="C2767"/>
    </row>
    <row r="2768" spans="2:3" x14ac:dyDescent="0.25">
      <c r="B2768"/>
      <c r="C2768"/>
    </row>
    <row r="2769" spans="2:3" x14ac:dyDescent="0.25">
      <c r="B2769"/>
      <c r="C2769"/>
    </row>
    <row r="2770" spans="2:3" x14ac:dyDescent="0.25">
      <c r="B2770"/>
      <c r="C2770"/>
    </row>
    <row r="2771" spans="2:3" x14ac:dyDescent="0.25">
      <c r="B2771"/>
      <c r="C2771"/>
    </row>
    <row r="2772" spans="2:3" x14ac:dyDescent="0.25">
      <c r="B2772"/>
      <c r="C2772"/>
    </row>
    <row r="2773" spans="2:3" x14ac:dyDescent="0.25">
      <c r="B2773"/>
      <c r="C2773"/>
    </row>
    <row r="2774" spans="2:3" x14ac:dyDescent="0.25">
      <c r="B2774"/>
      <c r="C2774"/>
    </row>
    <row r="2775" spans="2:3" x14ac:dyDescent="0.25">
      <c r="B2775"/>
      <c r="C2775"/>
    </row>
    <row r="2776" spans="2:3" x14ac:dyDescent="0.25">
      <c r="B2776"/>
      <c r="C2776"/>
    </row>
    <row r="2777" spans="2:3" x14ac:dyDescent="0.25">
      <c r="B2777"/>
      <c r="C2777"/>
    </row>
    <row r="2778" spans="2:3" x14ac:dyDescent="0.25">
      <c r="B2778"/>
      <c r="C2778"/>
    </row>
    <row r="2779" spans="2:3" x14ac:dyDescent="0.25">
      <c r="B2779"/>
      <c r="C2779"/>
    </row>
    <row r="2780" spans="2:3" x14ac:dyDescent="0.25">
      <c r="B2780"/>
      <c r="C2780"/>
    </row>
    <row r="2781" spans="2:3" x14ac:dyDescent="0.25">
      <c r="B2781"/>
      <c r="C2781"/>
    </row>
    <row r="2782" spans="2:3" x14ac:dyDescent="0.25">
      <c r="B2782"/>
      <c r="C2782"/>
    </row>
    <row r="2783" spans="2:3" x14ac:dyDescent="0.25">
      <c r="B2783"/>
      <c r="C2783"/>
    </row>
    <row r="2784" spans="2:3" x14ac:dyDescent="0.25">
      <c r="B2784"/>
      <c r="C2784"/>
    </row>
    <row r="2785" spans="2:3" x14ac:dyDescent="0.25">
      <c r="B2785"/>
      <c r="C2785"/>
    </row>
    <row r="2786" spans="2:3" x14ac:dyDescent="0.25">
      <c r="B2786"/>
      <c r="C2786"/>
    </row>
    <row r="2787" spans="2:3" x14ac:dyDescent="0.25">
      <c r="B2787"/>
      <c r="C2787"/>
    </row>
    <row r="2788" spans="2:3" x14ac:dyDescent="0.25">
      <c r="B2788"/>
      <c r="C2788"/>
    </row>
    <row r="2789" spans="2:3" x14ac:dyDescent="0.25">
      <c r="B2789"/>
      <c r="C2789"/>
    </row>
    <row r="2790" spans="2:3" x14ac:dyDescent="0.25">
      <c r="B2790"/>
      <c r="C2790"/>
    </row>
    <row r="2791" spans="2:3" x14ac:dyDescent="0.25">
      <c r="B2791"/>
      <c r="C2791"/>
    </row>
    <row r="2792" spans="2:3" x14ac:dyDescent="0.25">
      <c r="B2792"/>
      <c r="C2792"/>
    </row>
    <row r="2793" spans="2:3" x14ac:dyDescent="0.25">
      <c r="B2793"/>
      <c r="C2793"/>
    </row>
    <row r="2794" spans="2:3" x14ac:dyDescent="0.25">
      <c r="B2794"/>
      <c r="C2794"/>
    </row>
    <row r="2795" spans="2:3" x14ac:dyDescent="0.25">
      <c r="B2795"/>
      <c r="C2795"/>
    </row>
    <row r="2796" spans="2:3" x14ac:dyDescent="0.25">
      <c r="B2796"/>
      <c r="C2796"/>
    </row>
    <row r="2797" spans="2:3" x14ac:dyDescent="0.25">
      <c r="B2797"/>
      <c r="C2797"/>
    </row>
    <row r="2798" spans="2:3" x14ac:dyDescent="0.25">
      <c r="B2798"/>
      <c r="C2798"/>
    </row>
    <row r="2799" spans="2:3" x14ac:dyDescent="0.25">
      <c r="B2799"/>
      <c r="C2799"/>
    </row>
    <row r="2800" spans="2:3" x14ac:dyDescent="0.25">
      <c r="B2800"/>
      <c r="C2800"/>
    </row>
    <row r="2801" spans="2:3" x14ac:dyDescent="0.25">
      <c r="B2801"/>
      <c r="C2801"/>
    </row>
    <row r="2802" spans="2:3" x14ac:dyDescent="0.25">
      <c r="B2802"/>
      <c r="C2802"/>
    </row>
    <row r="2803" spans="2:3" x14ac:dyDescent="0.25">
      <c r="B2803"/>
      <c r="C2803"/>
    </row>
    <row r="2804" spans="2:3" x14ac:dyDescent="0.25">
      <c r="B2804"/>
      <c r="C2804"/>
    </row>
    <row r="2805" spans="2:3" x14ac:dyDescent="0.25">
      <c r="B2805"/>
      <c r="C2805"/>
    </row>
    <row r="2806" spans="2:3" x14ac:dyDescent="0.25">
      <c r="B2806"/>
      <c r="C2806"/>
    </row>
    <row r="2807" spans="2:3" x14ac:dyDescent="0.25">
      <c r="B2807"/>
      <c r="C2807"/>
    </row>
    <row r="2808" spans="2:3" x14ac:dyDescent="0.25">
      <c r="B2808"/>
      <c r="C2808"/>
    </row>
    <row r="2809" spans="2:3" x14ac:dyDescent="0.25">
      <c r="B2809"/>
      <c r="C2809"/>
    </row>
    <row r="2810" spans="2:3" x14ac:dyDescent="0.25">
      <c r="B2810"/>
      <c r="C2810"/>
    </row>
    <row r="2811" spans="2:3" x14ac:dyDescent="0.25">
      <c r="B2811"/>
      <c r="C2811"/>
    </row>
    <row r="2812" spans="2:3" x14ac:dyDescent="0.25">
      <c r="B2812"/>
      <c r="C2812"/>
    </row>
    <row r="2813" spans="2:3" x14ac:dyDescent="0.25">
      <c r="B2813"/>
      <c r="C2813"/>
    </row>
    <row r="2814" spans="2:3" x14ac:dyDescent="0.25">
      <c r="B2814"/>
      <c r="C2814"/>
    </row>
    <row r="2815" spans="2:3" x14ac:dyDescent="0.25">
      <c r="B2815"/>
      <c r="C2815"/>
    </row>
    <row r="2816" spans="2:3" x14ac:dyDescent="0.25">
      <c r="B2816"/>
      <c r="C2816"/>
    </row>
    <row r="2817" spans="2:3" x14ac:dyDescent="0.25">
      <c r="B2817"/>
      <c r="C2817"/>
    </row>
    <row r="2818" spans="2:3" x14ac:dyDescent="0.25">
      <c r="B2818"/>
      <c r="C2818"/>
    </row>
    <row r="2819" spans="2:3" x14ac:dyDescent="0.25">
      <c r="B2819"/>
      <c r="C2819"/>
    </row>
    <row r="2820" spans="2:3" x14ac:dyDescent="0.25">
      <c r="B2820"/>
      <c r="C2820"/>
    </row>
    <row r="2821" spans="2:3" x14ac:dyDescent="0.25">
      <c r="B2821"/>
      <c r="C2821"/>
    </row>
    <row r="2822" spans="2:3" x14ac:dyDescent="0.25">
      <c r="B2822"/>
      <c r="C2822"/>
    </row>
    <row r="2823" spans="2:3" x14ac:dyDescent="0.25">
      <c r="B2823"/>
      <c r="C2823"/>
    </row>
    <row r="2824" spans="2:3" x14ac:dyDescent="0.25">
      <c r="B2824"/>
      <c r="C2824"/>
    </row>
    <row r="2825" spans="2:3" x14ac:dyDescent="0.25">
      <c r="B2825"/>
      <c r="C2825"/>
    </row>
    <row r="2826" spans="2:3" x14ac:dyDescent="0.25">
      <c r="B2826"/>
      <c r="C2826"/>
    </row>
    <row r="2827" spans="2:3" x14ac:dyDescent="0.25">
      <c r="B2827"/>
      <c r="C2827"/>
    </row>
    <row r="2828" spans="2:3" x14ac:dyDescent="0.25">
      <c r="B2828"/>
      <c r="C2828"/>
    </row>
    <row r="2829" spans="2:3" x14ac:dyDescent="0.25">
      <c r="B2829"/>
      <c r="C2829"/>
    </row>
    <row r="2830" spans="2:3" x14ac:dyDescent="0.25">
      <c r="B2830"/>
      <c r="C2830"/>
    </row>
    <row r="2831" spans="2:3" x14ac:dyDescent="0.25">
      <c r="B2831"/>
      <c r="C2831"/>
    </row>
    <row r="2832" spans="2:3" x14ac:dyDescent="0.25">
      <c r="B2832"/>
      <c r="C2832"/>
    </row>
    <row r="2833" spans="2:3" x14ac:dyDescent="0.25">
      <c r="B2833"/>
      <c r="C2833"/>
    </row>
    <row r="2834" spans="2:3" x14ac:dyDescent="0.25">
      <c r="B2834"/>
      <c r="C2834"/>
    </row>
    <row r="2835" spans="2:3" x14ac:dyDescent="0.25">
      <c r="B2835"/>
      <c r="C2835"/>
    </row>
    <row r="2836" spans="2:3" x14ac:dyDescent="0.25">
      <c r="B2836"/>
      <c r="C2836"/>
    </row>
    <row r="2837" spans="2:3" x14ac:dyDescent="0.25">
      <c r="B2837"/>
      <c r="C2837"/>
    </row>
    <row r="2838" spans="2:3" x14ac:dyDescent="0.25">
      <c r="B2838"/>
      <c r="C2838"/>
    </row>
    <row r="2839" spans="2:3" x14ac:dyDescent="0.25">
      <c r="B2839"/>
      <c r="C2839"/>
    </row>
    <row r="2840" spans="2:3" x14ac:dyDescent="0.25">
      <c r="B2840"/>
      <c r="C2840"/>
    </row>
    <row r="2841" spans="2:3" x14ac:dyDescent="0.25">
      <c r="B2841"/>
      <c r="C2841"/>
    </row>
    <row r="2842" spans="2:3" x14ac:dyDescent="0.25">
      <c r="B2842"/>
      <c r="C2842"/>
    </row>
    <row r="2843" spans="2:3" x14ac:dyDescent="0.25">
      <c r="B2843"/>
      <c r="C2843"/>
    </row>
    <row r="2844" spans="2:3" x14ac:dyDescent="0.25">
      <c r="B2844"/>
      <c r="C2844"/>
    </row>
    <row r="2845" spans="2:3" x14ac:dyDescent="0.25">
      <c r="B2845"/>
      <c r="C2845"/>
    </row>
    <row r="2846" spans="2:3" x14ac:dyDescent="0.25">
      <c r="B2846"/>
      <c r="C2846"/>
    </row>
    <row r="2847" spans="2:3" x14ac:dyDescent="0.25">
      <c r="B2847"/>
      <c r="C2847"/>
    </row>
    <row r="2848" spans="2:3" x14ac:dyDescent="0.25">
      <c r="B2848"/>
      <c r="C2848"/>
    </row>
    <row r="2849" spans="2:3" x14ac:dyDescent="0.25">
      <c r="B2849"/>
      <c r="C2849"/>
    </row>
    <row r="2850" spans="2:3" x14ac:dyDescent="0.25">
      <c r="B2850"/>
      <c r="C2850"/>
    </row>
    <row r="2851" spans="2:3" x14ac:dyDescent="0.25">
      <c r="B2851"/>
      <c r="C2851"/>
    </row>
    <row r="2852" spans="2:3" x14ac:dyDescent="0.25">
      <c r="B2852"/>
      <c r="C2852"/>
    </row>
    <row r="2853" spans="2:3" x14ac:dyDescent="0.25">
      <c r="B2853"/>
      <c r="C2853"/>
    </row>
    <row r="2854" spans="2:3" x14ac:dyDescent="0.25">
      <c r="B2854"/>
      <c r="C2854"/>
    </row>
    <row r="2855" spans="2:3" x14ac:dyDescent="0.25">
      <c r="B2855"/>
      <c r="C2855"/>
    </row>
    <row r="2856" spans="2:3" x14ac:dyDescent="0.25">
      <c r="B2856"/>
      <c r="C2856"/>
    </row>
    <row r="2857" spans="2:3" x14ac:dyDescent="0.25">
      <c r="B2857"/>
      <c r="C2857"/>
    </row>
    <row r="2858" spans="2:3" x14ac:dyDescent="0.25">
      <c r="B2858"/>
      <c r="C2858"/>
    </row>
    <row r="2859" spans="2:3" x14ac:dyDescent="0.25">
      <c r="B2859"/>
      <c r="C2859"/>
    </row>
    <row r="2860" spans="2:3" x14ac:dyDescent="0.25">
      <c r="B2860"/>
      <c r="C2860"/>
    </row>
    <row r="2861" spans="2:3" x14ac:dyDescent="0.25">
      <c r="B2861"/>
      <c r="C2861"/>
    </row>
    <row r="2862" spans="2:3" x14ac:dyDescent="0.25">
      <c r="B2862"/>
      <c r="C2862"/>
    </row>
    <row r="2863" spans="2:3" x14ac:dyDescent="0.25">
      <c r="B2863"/>
      <c r="C2863"/>
    </row>
    <row r="2864" spans="2:3" x14ac:dyDescent="0.25">
      <c r="B2864"/>
      <c r="C2864"/>
    </row>
    <row r="2865" spans="2:3" x14ac:dyDescent="0.25">
      <c r="B2865"/>
      <c r="C2865"/>
    </row>
    <row r="2866" spans="2:3" x14ac:dyDescent="0.25">
      <c r="B2866"/>
      <c r="C2866"/>
    </row>
    <row r="2867" spans="2:3" x14ac:dyDescent="0.25">
      <c r="B2867"/>
      <c r="C2867"/>
    </row>
    <row r="2868" spans="2:3" x14ac:dyDescent="0.25">
      <c r="B2868"/>
      <c r="C2868"/>
    </row>
    <row r="2869" spans="2:3" x14ac:dyDescent="0.25">
      <c r="B2869"/>
      <c r="C2869"/>
    </row>
    <row r="2870" spans="2:3" x14ac:dyDescent="0.25">
      <c r="B2870"/>
      <c r="C2870"/>
    </row>
    <row r="2871" spans="2:3" x14ac:dyDescent="0.25">
      <c r="B2871"/>
      <c r="C2871"/>
    </row>
    <row r="2872" spans="2:3" x14ac:dyDescent="0.25">
      <c r="B2872"/>
      <c r="C2872"/>
    </row>
    <row r="2873" spans="2:3" x14ac:dyDescent="0.25">
      <c r="B2873"/>
      <c r="C2873"/>
    </row>
    <row r="2874" spans="2:3" x14ac:dyDescent="0.25">
      <c r="B2874"/>
      <c r="C2874"/>
    </row>
    <row r="2875" spans="2:3" x14ac:dyDescent="0.25">
      <c r="B2875"/>
      <c r="C2875"/>
    </row>
    <row r="2876" spans="2:3" x14ac:dyDescent="0.25">
      <c r="B2876"/>
      <c r="C2876"/>
    </row>
    <row r="2877" spans="2:3" x14ac:dyDescent="0.25">
      <c r="B2877"/>
      <c r="C2877"/>
    </row>
    <row r="2878" spans="2:3" x14ac:dyDescent="0.25">
      <c r="B2878"/>
      <c r="C2878"/>
    </row>
    <row r="2879" spans="2:3" x14ac:dyDescent="0.25">
      <c r="B2879"/>
      <c r="C2879"/>
    </row>
    <row r="2880" spans="2:3" x14ac:dyDescent="0.25">
      <c r="B2880"/>
      <c r="C2880"/>
    </row>
    <row r="2881" spans="2:3" x14ac:dyDescent="0.25">
      <c r="B2881"/>
      <c r="C2881"/>
    </row>
    <row r="2882" spans="2:3" x14ac:dyDescent="0.25">
      <c r="B2882"/>
      <c r="C2882"/>
    </row>
    <row r="2883" spans="2:3" x14ac:dyDescent="0.25">
      <c r="B2883"/>
      <c r="C2883"/>
    </row>
    <row r="2884" spans="2:3" x14ac:dyDescent="0.25">
      <c r="B2884"/>
      <c r="C2884"/>
    </row>
    <row r="2885" spans="2:3" x14ac:dyDescent="0.25">
      <c r="B2885"/>
      <c r="C2885"/>
    </row>
    <row r="2886" spans="2:3" x14ac:dyDescent="0.25">
      <c r="B2886"/>
      <c r="C2886"/>
    </row>
    <row r="2887" spans="2:3" x14ac:dyDescent="0.25">
      <c r="B2887"/>
      <c r="C2887"/>
    </row>
    <row r="2888" spans="2:3" x14ac:dyDescent="0.25">
      <c r="B2888"/>
      <c r="C2888"/>
    </row>
    <row r="2889" spans="2:3" x14ac:dyDescent="0.25">
      <c r="B2889"/>
      <c r="C2889"/>
    </row>
    <row r="2890" spans="2:3" x14ac:dyDescent="0.25">
      <c r="B2890"/>
      <c r="C2890"/>
    </row>
    <row r="2891" spans="2:3" x14ac:dyDescent="0.25">
      <c r="B2891"/>
      <c r="C2891"/>
    </row>
    <row r="2892" spans="2:3" x14ac:dyDescent="0.25">
      <c r="B2892"/>
      <c r="C2892"/>
    </row>
    <row r="2893" spans="2:3" x14ac:dyDescent="0.25">
      <c r="B2893"/>
      <c r="C2893"/>
    </row>
    <row r="2894" spans="2:3" x14ac:dyDescent="0.25">
      <c r="B2894"/>
      <c r="C2894"/>
    </row>
    <row r="2895" spans="2:3" x14ac:dyDescent="0.25">
      <c r="B2895"/>
      <c r="C2895"/>
    </row>
    <row r="2896" spans="2:3" x14ac:dyDescent="0.25">
      <c r="B2896"/>
      <c r="C2896"/>
    </row>
    <row r="2897" spans="2:3" x14ac:dyDescent="0.25">
      <c r="B2897"/>
      <c r="C2897"/>
    </row>
    <row r="2898" spans="2:3" x14ac:dyDescent="0.25">
      <c r="B2898"/>
      <c r="C2898"/>
    </row>
    <row r="2899" spans="2:3" x14ac:dyDescent="0.25">
      <c r="B2899"/>
      <c r="C2899"/>
    </row>
    <row r="2900" spans="2:3" x14ac:dyDescent="0.25">
      <c r="B2900"/>
      <c r="C2900"/>
    </row>
    <row r="2901" spans="2:3" x14ac:dyDescent="0.25">
      <c r="B2901"/>
      <c r="C2901"/>
    </row>
    <row r="2902" spans="2:3" x14ac:dyDescent="0.25">
      <c r="B2902"/>
      <c r="C2902"/>
    </row>
    <row r="2903" spans="2:3" x14ac:dyDescent="0.25">
      <c r="B2903"/>
      <c r="C2903"/>
    </row>
    <row r="2904" spans="2:3" x14ac:dyDescent="0.25">
      <c r="B2904"/>
      <c r="C2904"/>
    </row>
    <row r="2905" spans="2:3" x14ac:dyDescent="0.25">
      <c r="B2905"/>
      <c r="C2905"/>
    </row>
    <row r="2906" spans="2:3" x14ac:dyDescent="0.25">
      <c r="B2906"/>
      <c r="C2906"/>
    </row>
    <row r="2907" spans="2:3" x14ac:dyDescent="0.25">
      <c r="B2907"/>
      <c r="C2907"/>
    </row>
    <row r="2908" spans="2:3" x14ac:dyDescent="0.25">
      <c r="B2908"/>
      <c r="C2908"/>
    </row>
    <row r="2909" spans="2:3" x14ac:dyDescent="0.25">
      <c r="B2909"/>
      <c r="C2909"/>
    </row>
    <row r="2910" spans="2:3" x14ac:dyDescent="0.25">
      <c r="B2910"/>
      <c r="C2910"/>
    </row>
    <row r="2911" spans="2:3" x14ac:dyDescent="0.25">
      <c r="B2911"/>
      <c r="C2911"/>
    </row>
    <row r="2912" spans="2:3" x14ac:dyDescent="0.25">
      <c r="B2912"/>
      <c r="C2912"/>
    </row>
    <row r="2913" spans="2:3" x14ac:dyDescent="0.25">
      <c r="B2913"/>
      <c r="C2913"/>
    </row>
    <row r="2914" spans="2:3" x14ac:dyDescent="0.25">
      <c r="B2914"/>
      <c r="C2914"/>
    </row>
    <row r="2915" spans="2:3" x14ac:dyDescent="0.25">
      <c r="B2915"/>
      <c r="C2915"/>
    </row>
    <row r="2916" spans="2:3" x14ac:dyDescent="0.25">
      <c r="B2916"/>
      <c r="C2916"/>
    </row>
    <row r="2917" spans="2:3" x14ac:dyDescent="0.25">
      <c r="B2917"/>
      <c r="C2917"/>
    </row>
    <row r="2918" spans="2:3" x14ac:dyDescent="0.25">
      <c r="B2918"/>
      <c r="C2918"/>
    </row>
    <row r="2919" spans="2:3" x14ac:dyDescent="0.25">
      <c r="B2919"/>
      <c r="C2919"/>
    </row>
    <row r="2920" spans="2:3" x14ac:dyDescent="0.25">
      <c r="B2920"/>
      <c r="C2920"/>
    </row>
    <row r="2921" spans="2:3" x14ac:dyDescent="0.25">
      <c r="B2921"/>
      <c r="C2921"/>
    </row>
    <row r="2922" spans="2:3" x14ac:dyDescent="0.25">
      <c r="B2922"/>
      <c r="C2922"/>
    </row>
    <row r="2923" spans="2:3" x14ac:dyDescent="0.25">
      <c r="B2923"/>
      <c r="C2923"/>
    </row>
    <row r="2924" spans="2:3" x14ac:dyDescent="0.25">
      <c r="B2924"/>
      <c r="C2924"/>
    </row>
    <row r="2925" spans="2:3" x14ac:dyDescent="0.25">
      <c r="B2925"/>
      <c r="C2925"/>
    </row>
    <row r="2926" spans="2:3" x14ac:dyDescent="0.25">
      <c r="B2926"/>
      <c r="C2926"/>
    </row>
    <row r="2927" spans="2:3" x14ac:dyDescent="0.25">
      <c r="B2927"/>
      <c r="C2927"/>
    </row>
    <row r="2928" spans="2:3" x14ac:dyDescent="0.25">
      <c r="B2928"/>
      <c r="C2928"/>
    </row>
    <row r="2929" spans="2:3" x14ac:dyDescent="0.25">
      <c r="B2929"/>
      <c r="C2929"/>
    </row>
    <row r="2930" spans="2:3" x14ac:dyDescent="0.25">
      <c r="B2930"/>
      <c r="C2930"/>
    </row>
    <row r="2931" spans="2:3" x14ac:dyDescent="0.25">
      <c r="B2931"/>
      <c r="C2931"/>
    </row>
    <row r="2932" spans="2:3" x14ac:dyDescent="0.25">
      <c r="B2932"/>
      <c r="C2932"/>
    </row>
    <row r="2933" spans="2:3" x14ac:dyDescent="0.25">
      <c r="B2933"/>
      <c r="C2933"/>
    </row>
    <row r="2934" spans="2:3" x14ac:dyDescent="0.25">
      <c r="B2934"/>
      <c r="C2934"/>
    </row>
    <row r="2935" spans="2:3" x14ac:dyDescent="0.25">
      <c r="B2935"/>
      <c r="C2935"/>
    </row>
    <row r="2936" spans="2:3" x14ac:dyDescent="0.25">
      <c r="B2936"/>
      <c r="C2936"/>
    </row>
    <row r="2937" spans="2:3" x14ac:dyDescent="0.25">
      <c r="B2937"/>
      <c r="C2937"/>
    </row>
    <row r="2938" spans="2:3" x14ac:dyDescent="0.25">
      <c r="B2938"/>
      <c r="C2938"/>
    </row>
    <row r="2939" spans="2:3" x14ac:dyDescent="0.25">
      <c r="B2939"/>
      <c r="C2939"/>
    </row>
    <row r="2940" spans="2:3" x14ac:dyDescent="0.25">
      <c r="B2940"/>
      <c r="C2940"/>
    </row>
    <row r="2941" spans="2:3" x14ac:dyDescent="0.25">
      <c r="B2941"/>
      <c r="C2941"/>
    </row>
    <row r="2942" spans="2:3" x14ac:dyDescent="0.25">
      <c r="B2942"/>
      <c r="C2942"/>
    </row>
    <row r="2943" spans="2:3" x14ac:dyDescent="0.25">
      <c r="B2943"/>
      <c r="C2943"/>
    </row>
    <row r="2944" spans="2:3" x14ac:dyDescent="0.25">
      <c r="B2944"/>
      <c r="C2944"/>
    </row>
    <row r="2945" spans="2:3" x14ac:dyDescent="0.25">
      <c r="B2945"/>
      <c r="C2945"/>
    </row>
    <row r="2946" spans="2:3" x14ac:dyDescent="0.25">
      <c r="B2946"/>
      <c r="C2946"/>
    </row>
    <row r="2947" spans="2:3" x14ac:dyDescent="0.25">
      <c r="B2947"/>
      <c r="C2947"/>
    </row>
    <row r="2948" spans="2:3" x14ac:dyDescent="0.25">
      <c r="B2948"/>
      <c r="C2948"/>
    </row>
    <row r="2949" spans="2:3" x14ac:dyDescent="0.25">
      <c r="B2949"/>
      <c r="C2949"/>
    </row>
    <row r="2950" spans="2:3" x14ac:dyDescent="0.25">
      <c r="B2950"/>
      <c r="C2950"/>
    </row>
    <row r="2951" spans="2:3" x14ac:dyDescent="0.25">
      <c r="B2951"/>
      <c r="C2951"/>
    </row>
    <row r="2952" spans="2:3" x14ac:dyDescent="0.25">
      <c r="B2952"/>
      <c r="C2952"/>
    </row>
    <row r="2953" spans="2:3" x14ac:dyDescent="0.25">
      <c r="B2953"/>
      <c r="C2953"/>
    </row>
    <row r="2954" spans="2:3" x14ac:dyDescent="0.25">
      <c r="B2954"/>
      <c r="C2954"/>
    </row>
    <row r="2955" spans="2:3" x14ac:dyDescent="0.25">
      <c r="B2955"/>
      <c r="C2955"/>
    </row>
    <row r="2956" spans="2:3" x14ac:dyDescent="0.25">
      <c r="B2956"/>
      <c r="C2956"/>
    </row>
    <row r="2957" spans="2:3" x14ac:dyDescent="0.25">
      <c r="B2957"/>
      <c r="C2957"/>
    </row>
    <row r="2958" spans="2:3" x14ac:dyDescent="0.25">
      <c r="B2958"/>
      <c r="C2958"/>
    </row>
    <row r="2959" spans="2:3" x14ac:dyDescent="0.25">
      <c r="B2959"/>
      <c r="C2959"/>
    </row>
    <row r="2960" spans="2:3" x14ac:dyDescent="0.25">
      <c r="B2960"/>
      <c r="C2960"/>
    </row>
    <row r="2961" spans="2:3" x14ac:dyDescent="0.25">
      <c r="B2961"/>
      <c r="C2961"/>
    </row>
    <row r="2962" spans="2:3" x14ac:dyDescent="0.25">
      <c r="B2962"/>
      <c r="C2962"/>
    </row>
    <row r="2963" spans="2:3" x14ac:dyDescent="0.25">
      <c r="B2963"/>
      <c r="C2963"/>
    </row>
    <row r="2964" spans="2:3" x14ac:dyDescent="0.25">
      <c r="B2964"/>
      <c r="C2964"/>
    </row>
    <row r="2965" spans="2:3" x14ac:dyDescent="0.25">
      <c r="B2965"/>
      <c r="C2965"/>
    </row>
    <row r="2966" spans="2:3" x14ac:dyDescent="0.25">
      <c r="B2966"/>
      <c r="C2966"/>
    </row>
    <row r="2967" spans="2:3" x14ac:dyDescent="0.25">
      <c r="B2967"/>
      <c r="C2967"/>
    </row>
    <row r="2968" spans="2:3" x14ac:dyDescent="0.25">
      <c r="B2968"/>
      <c r="C2968"/>
    </row>
    <row r="2969" spans="2:3" x14ac:dyDescent="0.25">
      <c r="B2969"/>
      <c r="C2969"/>
    </row>
    <row r="2970" spans="2:3" x14ac:dyDescent="0.25">
      <c r="B2970"/>
      <c r="C2970"/>
    </row>
    <row r="2971" spans="2:3" x14ac:dyDescent="0.25">
      <c r="B2971"/>
      <c r="C2971"/>
    </row>
    <row r="2972" spans="2:3" x14ac:dyDescent="0.25">
      <c r="B2972"/>
      <c r="C2972"/>
    </row>
    <row r="2973" spans="2:3" x14ac:dyDescent="0.25">
      <c r="B2973"/>
      <c r="C2973"/>
    </row>
    <row r="2974" spans="2:3" x14ac:dyDescent="0.25">
      <c r="B2974"/>
      <c r="C2974"/>
    </row>
    <row r="2975" spans="2:3" x14ac:dyDescent="0.25">
      <c r="B2975"/>
      <c r="C2975"/>
    </row>
    <row r="2976" spans="2:3" x14ac:dyDescent="0.25">
      <c r="B2976"/>
      <c r="C2976"/>
    </row>
    <row r="2977" spans="2:3" x14ac:dyDescent="0.25">
      <c r="B2977"/>
      <c r="C2977"/>
    </row>
    <row r="2978" spans="2:3" x14ac:dyDescent="0.25">
      <c r="B2978"/>
      <c r="C2978"/>
    </row>
    <row r="2979" spans="2:3" x14ac:dyDescent="0.25">
      <c r="B2979"/>
      <c r="C2979"/>
    </row>
    <row r="2980" spans="2:3" x14ac:dyDescent="0.25">
      <c r="B2980"/>
      <c r="C2980"/>
    </row>
    <row r="2981" spans="2:3" x14ac:dyDescent="0.25">
      <c r="B2981"/>
      <c r="C2981"/>
    </row>
    <row r="2982" spans="2:3" x14ac:dyDescent="0.25">
      <c r="B2982"/>
      <c r="C2982"/>
    </row>
    <row r="2983" spans="2:3" x14ac:dyDescent="0.25">
      <c r="B2983"/>
      <c r="C2983"/>
    </row>
    <row r="2984" spans="2:3" x14ac:dyDescent="0.25">
      <c r="B2984"/>
      <c r="C2984"/>
    </row>
    <row r="2985" spans="2:3" x14ac:dyDescent="0.25">
      <c r="B2985"/>
      <c r="C2985"/>
    </row>
    <row r="2986" spans="2:3" x14ac:dyDescent="0.25">
      <c r="B2986"/>
      <c r="C2986"/>
    </row>
    <row r="2987" spans="2:3" x14ac:dyDescent="0.25">
      <c r="B2987"/>
      <c r="C2987"/>
    </row>
    <row r="2988" spans="2:3" x14ac:dyDescent="0.25">
      <c r="B2988"/>
      <c r="C2988"/>
    </row>
    <row r="2989" spans="2:3" x14ac:dyDescent="0.25">
      <c r="B2989"/>
      <c r="C2989"/>
    </row>
    <row r="2990" spans="2:3" x14ac:dyDescent="0.25">
      <c r="B2990"/>
      <c r="C2990"/>
    </row>
    <row r="2991" spans="2:3" x14ac:dyDescent="0.25">
      <c r="B2991"/>
      <c r="C2991"/>
    </row>
    <row r="2992" spans="2:3" x14ac:dyDescent="0.25">
      <c r="B2992"/>
      <c r="C2992"/>
    </row>
    <row r="2993" spans="2:3" x14ac:dyDescent="0.25">
      <c r="B2993"/>
      <c r="C2993"/>
    </row>
    <row r="2994" spans="2:3" x14ac:dyDescent="0.25">
      <c r="B2994"/>
      <c r="C2994"/>
    </row>
    <row r="2995" spans="2:3" x14ac:dyDescent="0.25">
      <c r="B2995"/>
      <c r="C2995"/>
    </row>
    <row r="2996" spans="2:3" x14ac:dyDescent="0.25">
      <c r="B2996"/>
      <c r="C2996"/>
    </row>
    <row r="2997" spans="2:3" x14ac:dyDescent="0.25">
      <c r="B2997"/>
      <c r="C2997"/>
    </row>
    <row r="2998" spans="2:3" x14ac:dyDescent="0.25">
      <c r="B2998"/>
      <c r="C2998"/>
    </row>
    <row r="2999" spans="2:3" x14ac:dyDescent="0.25">
      <c r="B2999"/>
      <c r="C2999"/>
    </row>
    <row r="3000" spans="2:3" x14ac:dyDescent="0.25">
      <c r="B3000"/>
      <c r="C3000"/>
    </row>
  </sheetData>
  <sheetProtection password="AE63" sheet="1" objects="1" scenarios="1"/>
  <sortState ref="B1:C3000">
    <sortCondition ref="B1"/>
  </sortState>
  <dataConsolidate>
    <dataRefs count="1">
      <dataRef ref="B60:C61" sheet="Scratch"/>
    </dataRefs>
  </dataConsolid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Consumables</vt:lpstr>
      <vt:lpstr>Notes</vt:lpstr>
      <vt:lpstr>Scratch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</dc:creator>
  <cp:lastModifiedBy>z m</cp:lastModifiedBy>
  <dcterms:created xsi:type="dcterms:W3CDTF">2018-09-23T03:11:20Z</dcterms:created>
  <dcterms:modified xsi:type="dcterms:W3CDTF">2019-08-23T10:31:18Z</dcterms:modified>
</cp:coreProperties>
</file>